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<sst xmlns="http://schemas.openxmlformats.org/spreadsheetml/2006/main" count="2" uniqueCount="2">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</sst>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L17" sqref="L17"/>
    </sheetView>
  </sheetViews>
  <sheetFormatPr defaultColWidth="3.7109375" defaultRowHeight="15" x14ac:dyDescent="0.25"/>
  <cols>
    <col min="2" max="17" width="8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S3" s="11" t="str">
        <f t="shared" si="0"/>
        <v>0</v>
      </c>
      <c r="T3" s="12">
        <f t="shared" si="1"/>
        <v>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/>
      <c r="D4" s="23"/>
      <c r="E4" s="25"/>
      <c r="F4" s="25"/>
      <c r="G4" s="25"/>
      <c r="H4" s="25">
        <v>2</v>
      </c>
      <c r="I4" s="25">
        <v>2</v>
      </c>
      <c r="J4" s="25">
        <v>2</v>
      </c>
      <c r="K4" s="25">
        <v>2</v>
      </c>
      <c r="L4" s="25"/>
      <c r="M4" s="25"/>
      <c r="N4" s="25"/>
      <c r="O4" s="25"/>
      <c r="P4" s="25"/>
      <c r="Q4" s="26"/>
      <c r="S4" s="11" t="str">
        <f>DEC2HEX(T4)</f>
        <v>AA000</v>
      </c>
      <c r="T4" s="12">
        <f>SUM(Z4:AO4)</f>
        <v>696320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131072</v>
      </c>
      <c r="AH4" s="17">
        <f xml:space="preserve"> IF(J4=1, 2^14, IF(J4=2, 2^15, IF(J4=3, 2^14+2^15, 0)))</f>
        <v>32768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/>
      <c r="G5" s="23">
        <v>2</v>
      </c>
      <c r="H5" s="23">
        <v>2</v>
      </c>
      <c r="I5" s="23">
        <v>2</v>
      </c>
      <c r="J5" s="23">
        <v>2</v>
      </c>
      <c r="K5" s="23">
        <v>2</v>
      </c>
      <c r="L5" s="23">
        <v>2</v>
      </c>
      <c r="M5" s="23"/>
      <c r="N5" s="23"/>
      <c r="O5" s="23"/>
      <c r="P5" s="23"/>
      <c r="Q5" s="24"/>
      <c r="S5" s="11" t="str">
        <f t="shared" ref="S5:S33" si="18">DEC2HEX(T5)</f>
        <v>2AA800</v>
      </c>
      <c r="T5" s="12">
        <f t="shared" ref="T5:T33" si="19">SUM(Z5:AO5)</f>
        <v>2795520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2097152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131072</v>
      </c>
      <c r="AH5" s="17">
        <f t="shared" ref="AH5:AH33" si="28" xml:space="preserve"> IF(J5=1, 2^14, IF(J5=2, 2^15, IF(J5=3, 2^14+2^15, 0)))</f>
        <v>32768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2048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/>
      <c r="E6" s="23"/>
      <c r="F6" s="23">
        <v>2</v>
      </c>
      <c r="G6" s="23">
        <v>2</v>
      </c>
      <c r="H6" s="23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/>
      <c r="O6" s="23"/>
      <c r="P6" s="23"/>
      <c r="Q6" s="24"/>
      <c r="S6" s="11" t="str">
        <f t="shared" si="18"/>
        <v>AAAA00</v>
      </c>
      <c r="T6" s="12">
        <f t="shared" si="19"/>
        <v>11184640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8388608</v>
      </c>
      <c r="AE6" s="17">
        <f t="shared" si="25"/>
        <v>2097152</v>
      </c>
      <c r="AF6" s="17">
        <f t="shared" si="26"/>
        <v>524288</v>
      </c>
      <c r="AG6" s="17">
        <f t="shared" si="27"/>
        <v>131072</v>
      </c>
      <c r="AH6" s="17">
        <f t="shared" si="28"/>
        <v>32768</v>
      </c>
      <c r="AI6" s="17">
        <f t="shared" si="29"/>
        <v>8192</v>
      </c>
      <c r="AJ6" s="17">
        <f t="shared" si="30"/>
        <v>2048</v>
      </c>
      <c r="AK6" s="17">
        <f t="shared" si="31"/>
        <v>512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/>
      <c r="F7" s="23">
        <v>2</v>
      </c>
      <c r="G7" s="23">
        <v>2</v>
      </c>
      <c r="H7" s="23">
        <v>2</v>
      </c>
      <c r="I7" s="23">
        <v>2</v>
      </c>
      <c r="J7" s="23">
        <v>2</v>
      </c>
      <c r="K7" s="23">
        <v>3</v>
      </c>
      <c r="L7" s="23">
        <v>3</v>
      </c>
      <c r="M7" s="23">
        <v>2</v>
      </c>
      <c r="N7" s="23"/>
      <c r="O7" s="23"/>
      <c r="P7" s="23"/>
      <c r="Q7" s="24"/>
      <c r="S7" s="11" t="str">
        <f t="shared" si="18"/>
        <v>AABE00</v>
      </c>
      <c r="T7" s="12">
        <f t="shared" si="19"/>
        <v>11189760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8388608</v>
      </c>
      <c r="AE7" s="17">
        <f t="shared" si="25"/>
        <v>2097152</v>
      </c>
      <c r="AF7" s="17">
        <f t="shared" si="26"/>
        <v>524288</v>
      </c>
      <c r="AG7" s="17">
        <f t="shared" si="27"/>
        <v>131072</v>
      </c>
      <c r="AH7" s="17">
        <f t="shared" si="28"/>
        <v>32768</v>
      </c>
      <c r="AI7" s="17">
        <f t="shared" si="29"/>
        <v>12288</v>
      </c>
      <c r="AJ7" s="17">
        <f t="shared" si="30"/>
        <v>3072</v>
      </c>
      <c r="AK7" s="17">
        <f t="shared" si="31"/>
        <v>512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/>
      <c r="F8" s="23">
        <v>2</v>
      </c>
      <c r="G8" s="23">
        <v>3</v>
      </c>
      <c r="H8" s="23">
        <v>3</v>
      </c>
      <c r="I8" s="23">
        <v>2</v>
      </c>
      <c r="J8" s="23">
        <v>2</v>
      </c>
      <c r="K8" s="23">
        <v>3</v>
      </c>
      <c r="L8" s="23">
        <v>3</v>
      </c>
      <c r="M8" s="23">
        <v>2</v>
      </c>
      <c r="N8" s="23"/>
      <c r="O8" s="23"/>
      <c r="P8" s="23"/>
      <c r="Q8" s="24"/>
      <c r="S8" s="11" t="str">
        <f t="shared" si="18"/>
        <v>BEBE00</v>
      </c>
      <c r="T8" s="12">
        <f t="shared" si="19"/>
        <v>12500480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8388608</v>
      </c>
      <c r="AE8" s="17">
        <f t="shared" si="25"/>
        <v>3145728</v>
      </c>
      <c r="AF8" s="17">
        <f t="shared" si="26"/>
        <v>786432</v>
      </c>
      <c r="AG8" s="17">
        <f t="shared" si="27"/>
        <v>131072</v>
      </c>
      <c r="AH8" s="17">
        <f t="shared" si="28"/>
        <v>32768</v>
      </c>
      <c r="AI8" s="17">
        <f t="shared" si="29"/>
        <v>12288</v>
      </c>
      <c r="AJ8" s="17">
        <f t="shared" si="30"/>
        <v>3072</v>
      </c>
      <c r="AK8" s="17">
        <f t="shared" si="31"/>
        <v>512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>
        <v>2</v>
      </c>
      <c r="F9" s="23">
        <v>2</v>
      </c>
      <c r="G9" s="23">
        <v>2</v>
      </c>
      <c r="H9" s="23">
        <v>2</v>
      </c>
      <c r="I9" s="23">
        <v>2</v>
      </c>
      <c r="J9" s="23">
        <v>2</v>
      </c>
      <c r="K9" s="23">
        <v>3</v>
      </c>
      <c r="L9" s="23">
        <v>3</v>
      </c>
      <c r="M9" s="23">
        <v>2</v>
      </c>
      <c r="N9" s="23">
        <v>2</v>
      </c>
      <c r="O9" s="23"/>
      <c r="P9" s="23"/>
      <c r="Q9" s="24"/>
      <c r="S9" s="11" t="str">
        <f t="shared" si="18"/>
        <v>2AABE80</v>
      </c>
      <c r="T9" s="12">
        <f t="shared" si="19"/>
        <v>44744320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33554432</v>
      </c>
      <c r="AD9" s="17">
        <f t="shared" si="24"/>
        <v>8388608</v>
      </c>
      <c r="AE9" s="17">
        <f t="shared" si="25"/>
        <v>2097152</v>
      </c>
      <c r="AF9" s="17">
        <f t="shared" si="26"/>
        <v>524288</v>
      </c>
      <c r="AG9" s="17">
        <f t="shared" si="27"/>
        <v>131072</v>
      </c>
      <c r="AH9" s="17">
        <f t="shared" si="28"/>
        <v>32768</v>
      </c>
      <c r="AI9" s="17">
        <f t="shared" si="29"/>
        <v>12288</v>
      </c>
      <c r="AJ9" s="17">
        <f t="shared" si="30"/>
        <v>3072</v>
      </c>
      <c r="AK9" s="17">
        <f t="shared" si="31"/>
        <v>512</v>
      </c>
      <c r="AL9" s="17">
        <f t="shared" si="32"/>
        <v>128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/>
      <c r="D10" s="23"/>
      <c r="E10" s="23">
        <v>2</v>
      </c>
      <c r="F10" s="23">
        <v>2</v>
      </c>
      <c r="G10" s="23">
        <v>2</v>
      </c>
      <c r="H10" s="23">
        <v>2</v>
      </c>
      <c r="I10" s="23">
        <v>2</v>
      </c>
      <c r="J10" s="23">
        <v>2</v>
      </c>
      <c r="K10" s="23">
        <v>2</v>
      </c>
      <c r="L10" s="23">
        <v>2</v>
      </c>
      <c r="M10" s="23">
        <v>2</v>
      </c>
      <c r="N10" s="23">
        <v>2</v>
      </c>
      <c r="O10" s="23"/>
      <c r="P10" s="23"/>
      <c r="Q10" s="24"/>
      <c r="S10" s="11" t="str">
        <f t="shared" si="18"/>
        <v>2AAAA80</v>
      </c>
      <c r="T10" s="12">
        <f t="shared" si="19"/>
        <v>44739200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33554432</v>
      </c>
      <c r="AD10" s="17">
        <f t="shared" si="24"/>
        <v>8388608</v>
      </c>
      <c r="AE10" s="17">
        <f t="shared" si="25"/>
        <v>2097152</v>
      </c>
      <c r="AF10" s="17">
        <f t="shared" si="26"/>
        <v>524288</v>
      </c>
      <c r="AG10" s="17">
        <f t="shared" si="27"/>
        <v>131072</v>
      </c>
      <c r="AH10" s="17">
        <f t="shared" si="28"/>
        <v>32768</v>
      </c>
      <c r="AI10" s="17">
        <f t="shared" si="29"/>
        <v>8192</v>
      </c>
      <c r="AJ10" s="17">
        <f t="shared" si="30"/>
        <v>2048</v>
      </c>
      <c r="AK10" s="17">
        <f t="shared" si="31"/>
        <v>512</v>
      </c>
      <c r="AL10" s="17">
        <f t="shared" si="32"/>
        <v>128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25">
      <c r="A11" s="4">
        <v>9</v>
      </c>
      <c r="B11" s="23"/>
      <c r="C11" s="23"/>
      <c r="D11" s="23"/>
      <c r="E11" s="23">
        <v>2</v>
      </c>
      <c r="F11" s="23">
        <v>2</v>
      </c>
      <c r="G11" s="23">
        <v>2</v>
      </c>
      <c r="H11" s="23">
        <v>2</v>
      </c>
      <c r="I11" s="23">
        <v>3</v>
      </c>
      <c r="J11" s="23">
        <v>3</v>
      </c>
      <c r="K11" s="23">
        <v>2</v>
      </c>
      <c r="L11" s="23">
        <v>2</v>
      </c>
      <c r="M11" s="23">
        <v>2</v>
      </c>
      <c r="N11" s="23">
        <v>2</v>
      </c>
      <c r="O11" s="23"/>
      <c r="P11" s="23"/>
      <c r="Q11" s="24"/>
      <c r="S11" s="11" t="str">
        <f t="shared" si="18"/>
        <v>2ABEA80</v>
      </c>
      <c r="T11" s="12">
        <f t="shared" si="19"/>
        <v>44821120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33554432</v>
      </c>
      <c r="AD11" s="17">
        <f t="shared" si="24"/>
        <v>8388608</v>
      </c>
      <c r="AE11" s="17">
        <f t="shared" si="25"/>
        <v>2097152</v>
      </c>
      <c r="AF11" s="17">
        <f t="shared" si="26"/>
        <v>524288</v>
      </c>
      <c r="AG11" s="17">
        <f t="shared" si="27"/>
        <v>196608</v>
      </c>
      <c r="AH11" s="17">
        <f t="shared" si="28"/>
        <v>49152</v>
      </c>
      <c r="AI11" s="17">
        <f t="shared" si="29"/>
        <v>8192</v>
      </c>
      <c r="AJ11" s="17">
        <f t="shared" si="30"/>
        <v>2048</v>
      </c>
      <c r="AK11" s="17">
        <f t="shared" si="31"/>
        <v>512</v>
      </c>
      <c r="AL11" s="17">
        <f t="shared" si="32"/>
        <v>128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/>
      <c r="E12" s="23">
        <v>2</v>
      </c>
      <c r="F12" s="23">
        <v>2</v>
      </c>
      <c r="G12" s="23">
        <v>2</v>
      </c>
      <c r="H12" s="23">
        <v>2</v>
      </c>
      <c r="I12" s="23">
        <v>3</v>
      </c>
      <c r="J12" s="23">
        <v>3</v>
      </c>
      <c r="K12" s="23">
        <v>2</v>
      </c>
      <c r="L12" s="23">
        <v>2</v>
      </c>
      <c r="M12" s="23">
        <v>2</v>
      </c>
      <c r="N12" s="23">
        <v>2</v>
      </c>
      <c r="O12" s="23"/>
      <c r="P12" s="23"/>
      <c r="Q12" s="24"/>
      <c r="S12" s="11" t="str">
        <f t="shared" si="18"/>
        <v>2ABEA80</v>
      </c>
      <c r="T12" s="12">
        <f t="shared" si="19"/>
        <v>44821120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33554432</v>
      </c>
      <c r="AD12" s="17">
        <f t="shared" si="24"/>
        <v>8388608</v>
      </c>
      <c r="AE12" s="17">
        <f t="shared" si="25"/>
        <v>2097152</v>
      </c>
      <c r="AF12" s="17">
        <f t="shared" si="26"/>
        <v>524288</v>
      </c>
      <c r="AG12" s="17">
        <f t="shared" si="27"/>
        <v>196608</v>
      </c>
      <c r="AH12" s="17">
        <f t="shared" si="28"/>
        <v>49152</v>
      </c>
      <c r="AI12" s="17">
        <f t="shared" si="29"/>
        <v>8192</v>
      </c>
      <c r="AJ12" s="17">
        <f t="shared" si="30"/>
        <v>2048</v>
      </c>
      <c r="AK12" s="17">
        <f t="shared" si="31"/>
        <v>512</v>
      </c>
      <c r="AL12" s="17">
        <f t="shared" si="32"/>
        <v>128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/>
      <c r="E13" s="23"/>
      <c r="F13" s="23">
        <v>2</v>
      </c>
      <c r="G13" s="23">
        <v>2</v>
      </c>
      <c r="H13" s="23">
        <v>2</v>
      </c>
      <c r="I13" s="23">
        <v>2</v>
      </c>
      <c r="J13" s="23">
        <v>2</v>
      </c>
      <c r="K13" s="23">
        <v>2</v>
      </c>
      <c r="L13" s="23">
        <v>2</v>
      </c>
      <c r="M13" s="23">
        <v>2</v>
      </c>
      <c r="N13" s="23"/>
      <c r="O13" s="23"/>
      <c r="P13" s="23"/>
      <c r="Q13" s="24"/>
      <c r="S13" s="11" t="str">
        <f t="shared" si="18"/>
        <v>AAAA00</v>
      </c>
      <c r="T13" s="12">
        <f t="shared" si="19"/>
        <v>11184640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8388608</v>
      </c>
      <c r="AE13" s="17">
        <f t="shared" si="25"/>
        <v>2097152</v>
      </c>
      <c r="AF13" s="17">
        <f t="shared" si="26"/>
        <v>524288</v>
      </c>
      <c r="AG13" s="17">
        <f t="shared" si="27"/>
        <v>131072</v>
      </c>
      <c r="AH13" s="17">
        <f t="shared" si="28"/>
        <v>32768</v>
      </c>
      <c r="AI13" s="17">
        <f t="shared" si="29"/>
        <v>8192</v>
      </c>
      <c r="AJ13" s="17">
        <f t="shared" si="30"/>
        <v>2048</v>
      </c>
      <c r="AK13" s="17">
        <f t="shared" si="31"/>
        <v>512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/>
      <c r="E14" s="23"/>
      <c r="F14" s="23">
        <v>2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2</v>
      </c>
      <c r="N14" s="23"/>
      <c r="O14" s="23"/>
      <c r="P14" s="23"/>
      <c r="Q14" s="24"/>
      <c r="S14" s="11" t="str">
        <f t="shared" si="18"/>
        <v>955600</v>
      </c>
      <c r="T14" s="12">
        <f t="shared" si="19"/>
        <v>9786880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8388608</v>
      </c>
      <c r="AE14" s="17">
        <f t="shared" si="25"/>
        <v>1048576</v>
      </c>
      <c r="AF14" s="17">
        <f t="shared" si="26"/>
        <v>262144</v>
      </c>
      <c r="AG14" s="17">
        <f t="shared" si="27"/>
        <v>65536</v>
      </c>
      <c r="AH14" s="17">
        <f t="shared" si="28"/>
        <v>16384</v>
      </c>
      <c r="AI14" s="17">
        <f t="shared" si="29"/>
        <v>4096</v>
      </c>
      <c r="AJ14" s="17">
        <f t="shared" si="30"/>
        <v>1024</v>
      </c>
      <c r="AK14" s="17">
        <f t="shared" si="31"/>
        <v>512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/>
      <c r="D15" s="23"/>
      <c r="E15" s="23"/>
      <c r="F15" s="23">
        <v>2</v>
      </c>
      <c r="G15" s="23">
        <v>1</v>
      </c>
      <c r="H15" s="23">
        <v>1</v>
      </c>
      <c r="I15" s="23">
        <v>1</v>
      </c>
      <c r="J15" s="23">
        <v>2</v>
      </c>
      <c r="K15" s="23">
        <v>2</v>
      </c>
      <c r="L15" s="23">
        <v>2</v>
      </c>
      <c r="M15" s="23">
        <v>2</v>
      </c>
      <c r="N15" s="23"/>
      <c r="O15" s="23"/>
      <c r="P15" s="23"/>
      <c r="Q15" s="24"/>
      <c r="S15" s="11" t="str">
        <f t="shared" si="18"/>
        <v>95AA00</v>
      </c>
      <c r="T15" s="12">
        <f t="shared" si="19"/>
        <v>9808384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8388608</v>
      </c>
      <c r="AE15" s="17">
        <f t="shared" si="25"/>
        <v>1048576</v>
      </c>
      <c r="AF15" s="17">
        <f t="shared" si="26"/>
        <v>262144</v>
      </c>
      <c r="AG15" s="17">
        <f t="shared" si="27"/>
        <v>65536</v>
      </c>
      <c r="AH15" s="17">
        <f t="shared" si="28"/>
        <v>32768</v>
      </c>
      <c r="AI15" s="17">
        <f t="shared" si="29"/>
        <v>8192</v>
      </c>
      <c r="AJ15" s="17">
        <f t="shared" si="30"/>
        <v>2048</v>
      </c>
      <c r="AK15" s="17">
        <f t="shared" si="31"/>
        <v>512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/>
      <c r="E16" s="23"/>
      <c r="F16" s="23">
        <v>2</v>
      </c>
      <c r="G16" s="23">
        <v>1</v>
      </c>
      <c r="H16" s="23">
        <v>1</v>
      </c>
      <c r="I16" s="23">
        <v>1</v>
      </c>
      <c r="J16" s="23">
        <v>2</v>
      </c>
      <c r="K16" s="23">
        <v>2</v>
      </c>
      <c r="L16" s="23">
        <v>2</v>
      </c>
      <c r="M16" s="23">
        <v>2</v>
      </c>
      <c r="N16" s="23"/>
      <c r="O16" s="23"/>
      <c r="P16" s="23"/>
      <c r="Q16" s="24"/>
      <c r="S16" s="11" t="str">
        <f t="shared" si="18"/>
        <v>95AA00</v>
      </c>
      <c r="T16" s="12">
        <f t="shared" si="19"/>
        <v>9808384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8388608</v>
      </c>
      <c r="AE16" s="17">
        <f t="shared" si="25"/>
        <v>1048576</v>
      </c>
      <c r="AF16" s="17">
        <f t="shared" si="26"/>
        <v>262144</v>
      </c>
      <c r="AG16" s="17">
        <f t="shared" si="27"/>
        <v>65536</v>
      </c>
      <c r="AH16" s="17">
        <f t="shared" si="28"/>
        <v>32768</v>
      </c>
      <c r="AI16" s="17">
        <f t="shared" si="29"/>
        <v>8192</v>
      </c>
      <c r="AJ16" s="17">
        <f t="shared" si="30"/>
        <v>2048</v>
      </c>
      <c r="AK16" s="17">
        <f t="shared" si="31"/>
        <v>512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/>
      <c r="E17" s="23"/>
      <c r="F17" s="23">
        <v>2</v>
      </c>
      <c r="G17" s="23">
        <v>2</v>
      </c>
      <c r="H17" s="23">
        <v>1</v>
      </c>
      <c r="I17" s="23">
        <v>2</v>
      </c>
      <c r="J17" s="23">
        <v>2</v>
      </c>
      <c r="K17" s="23">
        <v>2</v>
      </c>
      <c r="L17" s="23">
        <v>2</v>
      </c>
      <c r="M17" s="23">
        <v>2</v>
      </c>
      <c r="N17" s="23"/>
      <c r="O17" s="23"/>
      <c r="P17" s="23"/>
      <c r="Q17" s="24"/>
      <c r="S17" s="11" t="str">
        <f t="shared" si="18"/>
        <v>A6AA00</v>
      </c>
      <c r="T17" s="12">
        <f t="shared" si="19"/>
        <v>10922496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8388608</v>
      </c>
      <c r="AE17" s="17">
        <f t="shared" si="25"/>
        <v>2097152</v>
      </c>
      <c r="AF17" s="17">
        <f t="shared" si="26"/>
        <v>262144</v>
      </c>
      <c r="AG17" s="17">
        <f t="shared" si="27"/>
        <v>131072</v>
      </c>
      <c r="AH17" s="17">
        <f t="shared" si="28"/>
        <v>32768</v>
      </c>
      <c r="AI17" s="17">
        <f t="shared" si="29"/>
        <v>8192</v>
      </c>
      <c r="AJ17" s="17">
        <f t="shared" si="30"/>
        <v>2048</v>
      </c>
      <c r="AK17" s="17">
        <f t="shared" si="31"/>
        <v>512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/>
      <c r="E18" s="23"/>
      <c r="F18" s="23"/>
      <c r="G18" s="23">
        <v>2</v>
      </c>
      <c r="H18" s="23">
        <v>2</v>
      </c>
      <c r="I18" s="23">
        <v>2</v>
      </c>
      <c r="J18" s="23">
        <v>2</v>
      </c>
      <c r="K18" s="23">
        <v>2</v>
      </c>
      <c r="L18" s="23">
        <v>2</v>
      </c>
      <c r="M18" s="23"/>
      <c r="N18" s="23"/>
      <c r="O18" s="23"/>
      <c r="P18" s="23"/>
      <c r="Q18" s="24"/>
      <c r="S18" s="11" t="str">
        <f t="shared" si="18"/>
        <v>2AA800</v>
      </c>
      <c r="T18" s="12">
        <f t="shared" si="19"/>
        <v>2795520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2097152</v>
      </c>
      <c r="AF18" s="17">
        <f t="shared" si="26"/>
        <v>524288</v>
      </c>
      <c r="AG18" s="17">
        <f t="shared" si="27"/>
        <v>131072</v>
      </c>
      <c r="AH18" s="17">
        <f t="shared" si="28"/>
        <v>32768</v>
      </c>
      <c r="AI18" s="17">
        <f t="shared" si="29"/>
        <v>8192</v>
      </c>
      <c r="AJ18" s="17">
        <f t="shared" si="30"/>
        <v>2048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2015-06-23T14:52:46Z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