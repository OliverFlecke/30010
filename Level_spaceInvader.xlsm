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1875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3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T24" i="1"/>
  <c r="S24" i="1" s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3" i="1" l="1"/>
  <c r="S3" i="1" s="1"/>
  <c r="T29" i="1"/>
  <c r="S29" i="1" s="1"/>
  <c r="T2" i="1"/>
  <c r="S2" i="1" s="1"/>
  <c r="T33" i="1"/>
  <c r="S33" i="1" s="1"/>
  <c r="T31" i="1"/>
  <c r="S31" i="1" s="1"/>
  <c r="T30" i="1"/>
  <c r="S30" i="1" s="1"/>
  <c r="T28" i="1"/>
  <c r="S28" i="1" s="1"/>
  <c r="T27" i="1"/>
  <c r="S27" i="1" s="1"/>
  <c r="T26" i="1"/>
  <c r="S26" i="1" s="1"/>
  <c r="T25" i="1"/>
  <c r="S25" i="1" s="1"/>
  <c r="T23" i="1"/>
  <c r="S23" i="1" s="1"/>
  <c r="T22" i="1"/>
  <c r="S22" i="1" s="1"/>
  <c r="T21" i="1"/>
  <c r="S21" i="1" s="1"/>
  <c r="T19" i="1"/>
  <c r="S19" i="1" s="1"/>
  <c r="T18" i="1"/>
  <c r="S18" i="1" s="1"/>
  <c r="T14" i="1"/>
  <c r="S14" i="1" s="1"/>
  <c r="T9" i="1"/>
  <c r="S9" i="1" s="1"/>
  <c r="T5" i="1"/>
  <c r="S5" i="1" s="1"/>
  <c r="T7" i="1"/>
  <c r="S7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<sst xmlns="http://schemas.openxmlformats.org/spreadsheetml/2006/main" count="2" uniqueCount="2">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</sst>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topLeftCell="A4" workbookViewId="0">
      <selection activeCell="AR29" sqref="AR29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>
        <v>2</v>
      </c>
      <c r="H2" s="23"/>
      <c r="I2" s="23"/>
      <c r="J2" s="23"/>
      <c r="K2" s="23"/>
      <c r="L2" s="23">
        <v>2</v>
      </c>
      <c r="M2" s="23"/>
      <c r="N2" s="23"/>
      <c r="O2" s="23"/>
      <c r="P2" s="23"/>
      <c r="Q2" s="24"/>
      <c r="S2" s="11" t="str">
        <f t="shared" ref="S2:S3" si="0">DEC2HEX(T2)</f>
        <v>200800</v>
      </c>
      <c r="T2" s="12">
        <f t="shared" ref="T2:T3" si="1">SUM(Z2:AO2)</f>
        <v>2099200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2097152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2048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>
        <v>2</v>
      </c>
      <c r="H3" s="23"/>
      <c r="I3" s="23"/>
      <c r="J3" s="23"/>
      <c r="K3" s="23"/>
      <c r="L3" s="23">
        <v>2</v>
      </c>
      <c r="M3" s="23"/>
      <c r="N3" s="23"/>
      <c r="O3" s="23"/>
      <c r="P3" s="23"/>
      <c r="Q3" s="24"/>
      <c r="S3" s="11" t="str">
        <f t="shared" si="0"/>
        <v>200800</v>
      </c>
      <c r="T3" s="12">
        <f t="shared" si="1"/>
        <v>2099200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2097152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2048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/>
      <c r="H4" s="25">
        <v>2</v>
      </c>
      <c r="I4" s="25"/>
      <c r="J4" s="25"/>
      <c r="K4" s="25">
        <v>2</v>
      </c>
      <c r="L4" s="25"/>
      <c r="M4" s="25"/>
      <c r="N4" s="25"/>
      <c r="O4" s="25"/>
      <c r="P4" s="25"/>
      <c r="Q4" s="26"/>
      <c r="S4" s="11" t="str">
        <f>DEC2HEX(T4)</f>
        <v>82000</v>
      </c>
      <c r="T4" s="12">
        <f>SUM(Z4:AO4)</f>
        <v>532480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/>
      <c r="H5" s="23">
        <v>2</v>
      </c>
      <c r="I5" s="23"/>
      <c r="J5" s="23"/>
      <c r="K5" s="23">
        <v>2</v>
      </c>
      <c r="L5" s="23"/>
      <c r="M5" s="23"/>
      <c r="N5" s="23"/>
      <c r="O5" s="23"/>
      <c r="P5" s="23"/>
      <c r="Q5" s="24"/>
      <c r="S5" s="11" t="str">
        <f t="shared" ref="S5:S33" si="18">DEC2HEX(T5)</f>
        <v>82000</v>
      </c>
      <c r="T5" s="12">
        <f t="shared" ref="T5:T33" si="19">SUM(Z5:AO5)</f>
        <v>532480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/>
      <c r="F6" s="23"/>
      <c r="G6" s="23">
        <v>1</v>
      </c>
      <c r="H6" s="23">
        <v>1</v>
      </c>
      <c r="I6" s="23">
        <v>1</v>
      </c>
      <c r="J6" s="23">
        <v>1</v>
      </c>
      <c r="K6" s="23">
        <v>1</v>
      </c>
      <c r="L6" s="23">
        <v>1</v>
      </c>
      <c r="M6" s="23"/>
      <c r="N6" s="23"/>
      <c r="O6" s="23"/>
      <c r="P6" s="23"/>
      <c r="Q6" s="24"/>
      <c r="S6" s="11" t="str">
        <f t="shared" si="18"/>
        <v>155400</v>
      </c>
      <c r="T6" s="12">
        <f t="shared" si="19"/>
        <v>1397760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1048576</v>
      </c>
      <c r="AF6" s="17">
        <f t="shared" si="26"/>
        <v>262144</v>
      </c>
      <c r="AG6" s="17">
        <f t="shared" si="27"/>
        <v>65536</v>
      </c>
      <c r="AH6" s="17">
        <f t="shared" si="28"/>
        <v>16384</v>
      </c>
      <c r="AI6" s="17">
        <f t="shared" si="29"/>
        <v>4096</v>
      </c>
      <c r="AJ6" s="17">
        <f t="shared" si="30"/>
        <v>1024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/>
      <c r="G7" s="23">
        <v>1</v>
      </c>
      <c r="H7" s="23">
        <v>1</v>
      </c>
      <c r="I7" s="23">
        <v>1</v>
      </c>
      <c r="J7" s="23">
        <v>1</v>
      </c>
      <c r="K7" s="23">
        <v>1</v>
      </c>
      <c r="L7" s="23">
        <v>1</v>
      </c>
      <c r="M7" s="23"/>
      <c r="N7" s="23"/>
      <c r="O7" s="23"/>
      <c r="P7" s="23"/>
      <c r="Q7" s="24"/>
      <c r="S7" s="11" t="str">
        <f t="shared" si="18"/>
        <v>155400</v>
      </c>
      <c r="T7" s="12">
        <f t="shared" si="19"/>
        <v>1397760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1048576</v>
      </c>
      <c r="AF7" s="17">
        <f t="shared" si="26"/>
        <v>262144</v>
      </c>
      <c r="AG7" s="17">
        <f t="shared" si="27"/>
        <v>65536</v>
      </c>
      <c r="AH7" s="17">
        <f t="shared" si="28"/>
        <v>16384</v>
      </c>
      <c r="AI7" s="17">
        <f t="shared" si="29"/>
        <v>4096</v>
      </c>
      <c r="AJ7" s="17">
        <f t="shared" si="30"/>
        <v>1024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/>
      <c r="F8" s="23">
        <v>1</v>
      </c>
      <c r="G8" s="23">
        <v>1</v>
      </c>
      <c r="H8" s="23">
        <v>1</v>
      </c>
      <c r="I8" s="23">
        <v>1</v>
      </c>
      <c r="J8" s="23">
        <v>1</v>
      </c>
      <c r="K8" s="23">
        <v>1</v>
      </c>
      <c r="L8" s="23">
        <v>1</v>
      </c>
      <c r="M8" s="23">
        <v>1</v>
      </c>
      <c r="N8" s="23"/>
      <c r="O8" s="23"/>
      <c r="P8" s="23"/>
      <c r="Q8" s="24"/>
      <c r="S8" s="11" t="str">
        <f t="shared" si="18"/>
        <v>555500</v>
      </c>
      <c r="T8" s="12">
        <f t="shared" si="19"/>
        <v>5592320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4194304</v>
      </c>
      <c r="AE8" s="17">
        <f t="shared" si="25"/>
        <v>1048576</v>
      </c>
      <c r="AF8" s="17">
        <f t="shared" si="26"/>
        <v>262144</v>
      </c>
      <c r="AG8" s="17">
        <f t="shared" si="27"/>
        <v>65536</v>
      </c>
      <c r="AH8" s="17">
        <f t="shared" si="28"/>
        <v>16384</v>
      </c>
      <c r="AI8" s="17">
        <f t="shared" si="29"/>
        <v>4096</v>
      </c>
      <c r="AJ8" s="17">
        <f t="shared" si="30"/>
        <v>1024</v>
      </c>
      <c r="AK8" s="17">
        <f t="shared" si="31"/>
        <v>256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/>
      <c r="F9" s="23">
        <v>1</v>
      </c>
      <c r="G9" s="23">
        <v>1</v>
      </c>
      <c r="H9" s="23">
        <v>3</v>
      </c>
      <c r="I9" s="23">
        <v>1</v>
      </c>
      <c r="J9" s="23">
        <v>1</v>
      </c>
      <c r="K9" s="23">
        <v>3</v>
      </c>
      <c r="L9" s="23">
        <v>1</v>
      </c>
      <c r="M9" s="23">
        <v>1</v>
      </c>
      <c r="N9" s="23"/>
      <c r="O9" s="23"/>
      <c r="P9" s="23"/>
      <c r="Q9" s="24"/>
      <c r="S9" s="11" t="str">
        <f t="shared" si="18"/>
        <v>5D7500</v>
      </c>
      <c r="T9" s="12">
        <f t="shared" si="19"/>
        <v>6124800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4194304</v>
      </c>
      <c r="AE9" s="17">
        <f t="shared" si="25"/>
        <v>1048576</v>
      </c>
      <c r="AF9" s="17">
        <f t="shared" si="26"/>
        <v>786432</v>
      </c>
      <c r="AG9" s="17">
        <f t="shared" si="27"/>
        <v>65536</v>
      </c>
      <c r="AH9" s="17">
        <f t="shared" si="28"/>
        <v>16384</v>
      </c>
      <c r="AI9" s="17">
        <f t="shared" si="29"/>
        <v>12288</v>
      </c>
      <c r="AJ9" s="17">
        <f t="shared" si="30"/>
        <v>1024</v>
      </c>
      <c r="AK9" s="17">
        <f t="shared" si="31"/>
        <v>256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>
        <v>1</v>
      </c>
      <c r="F10" s="23">
        <v>1</v>
      </c>
      <c r="G10" s="23">
        <v>1</v>
      </c>
      <c r="H10" s="23">
        <v>3</v>
      </c>
      <c r="I10" s="23">
        <v>1</v>
      </c>
      <c r="J10" s="23">
        <v>1</v>
      </c>
      <c r="K10" s="23">
        <v>3</v>
      </c>
      <c r="L10" s="23">
        <v>1</v>
      </c>
      <c r="M10" s="23">
        <v>1</v>
      </c>
      <c r="N10" s="23">
        <v>1</v>
      </c>
      <c r="O10" s="23"/>
      <c r="P10" s="23"/>
      <c r="Q10" s="24"/>
      <c r="S10" s="11" t="str">
        <f t="shared" si="18"/>
        <v>15D7540</v>
      </c>
      <c r="T10" s="12">
        <f t="shared" si="19"/>
        <v>22902080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16777216</v>
      </c>
      <c r="AD10" s="17">
        <f t="shared" si="24"/>
        <v>4194304</v>
      </c>
      <c r="AE10" s="17">
        <f t="shared" si="25"/>
        <v>1048576</v>
      </c>
      <c r="AF10" s="17">
        <f t="shared" si="26"/>
        <v>786432</v>
      </c>
      <c r="AG10" s="17">
        <f t="shared" si="27"/>
        <v>65536</v>
      </c>
      <c r="AH10" s="17">
        <f t="shared" si="28"/>
        <v>16384</v>
      </c>
      <c r="AI10" s="17">
        <f t="shared" si="29"/>
        <v>12288</v>
      </c>
      <c r="AJ10" s="17">
        <f t="shared" si="30"/>
        <v>1024</v>
      </c>
      <c r="AK10" s="17">
        <f t="shared" si="31"/>
        <v>256</v>
      </c>
      <c r="AL10" s="17">
        <f t="shared" si="32"/>
        <v>64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>
        <v>1</v>
      </c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>
        <v>1</v>
      </c>
      <c r="O11" s="23"/>
      <c r="P11" s="23"/>
      <c r="Q11" s="24"/>
      <c r="S11" s="11" t="str">
        <f t="shared" si="18"/>
        <v>1555540</v>
      </c>
      <c r="T11" s="12">
        <f t="shared" si="19"/>
        <v>22369600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16777216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64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>
        <v>1</v>
      </c>
      <c r="E12" s="23">
        <v>1</v>
      </c>
      <c r="F12" s="23">
        <v>1</v>
      </c>
      <c r="G12" s="23">
        <v>1</v>
      </c>
      <c r="H12" s="23">
        <v>1</v>
      </c>
      <c r="I12" s="23">
        <v>1</v>
      </c>
      <c r="J12" s="23">
        <v>1</v>
      </c>
      <c r="K12" s="23">
        <v>1</v>
      </c>
      <c r="L12" s="23">
        <v>1</v>
      </c>
      <c r="M12" s="23">
        <v>1</v>
      </c>
      <c r="N12" s="23">
        <v>1</v>
      </c>
      <c r="O12" s="23">
        <v>1</v>
      </c>
      <c r="P12" s="23"/>
      <c r="Q12" s="24"/>
      <c r="S12" s="11" t="str">
        <f t="shared" si="18"/>
        <v>5555550</v>
      </c>
      <c r="T12" s="12">
        <f t="shared" si="19"/>
        <v>89478480</v>
      </c>
      <c r="Z12" s="16">
        <f t="shared" si="20"/>
        <v>0</v>
      </c>
      <c r="AA12" s="17">
        <f t="shared" si="21"/>
        <v>0</v>
      </c>
      <c r="AB12" s="17">
        <f t="shared" si="22"/>
        <v>67108864</v>
      </c>
      <c r="AC12" s="17">
        <f t="shared" si="23"/>
        <v>16777216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65536</v>
      </c>
      <c r="AH12" s="17">
        <f t="shared" si="28"/>
        <v>16384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64</v>
      </c>
      <c r="AM12" s="17">
        <f t="shared" si="33"/>
        <v>16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>
        <v>1</v>
      </c>
      <c r="E13" s="23">
        <v>1</v>
      </c>
      <c r="F13" s="23">
        <v>1</v>
      </c>
      <c r="G13" s="23">
        <v>1</v>
      </c>
      <c r="H13" s="23">
        <v>1</v>
      </c>
      <c r="I13" s="23">
        <v>1</v>
      </c>
      <c r="J13" s="23">
        <v>1</v>
      </c>
      <c r="K13" s="23">
        <v>1</v>
      </c>
      <c r="L13" s="23">
        <v>1</v>
      </c>
      <c r="M13" s="23">
        <v>1</v>
      </c>
      <c r="N13" s="23">
        <v>1</v>
      </c>
      <c r="O13" s="23">
        <v>1</v>
      </c>
      <c r="P13" s="23"/>
      <c r="Q13" s="24"/>
      <c r="S13" s="11" t="str">
        <f t="shared" si="18"/>
        <v>5555550</v>
      </c>
      <c r="T13" s="12">
        <f t="shared" si="19"/>
        <v>89478480</v>
      </c>
      <c r="Z13" s="16">
        <f t="shared" si="20"/>
        <v>0</v>
      </c>
      <c r="AA13" s="17">
        <f t="shared" si="21"/>
        <v>0</v>
      </c>
      <c r="AB13" s="17">
        <f t="shared" si="22"/>
        <v>67108864</v>
      </c>
      <c r="AC13" s="17">
        <f t="shared" si="23"/>
        <v>16777216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65536</v>
      </c>
      <c r="AH13" s="17">
        <f t="shared" si="28"/>
        <v>16384</v>
      </c>
      <c r="AI13" s="17">
        <f t="shared" si="29"/>
        <v>4096</v>
      </c>
      <c r="AJ13" s="17">
        <f t="shared" si="30"/>
        <v>1024</v>
      </c>
      <c r="AK13" s="17">
        <f t="shared" si="31"/>
        <v>256</v>
      </c>
      <c r="AL13" s="17">
        <f t="shared" si="32"/>
        <v>64</v>
      </c>
      <c r="AM13" s="17">
        <f t="shared" si="33"/>
        <v>16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>
        <v>1</v>
      </c>
      <c r="E14" s="23">
        <v>1</v>
      </c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>
        <v>1</v>
      </c>
      <c r="O14" s="23">
        <v>1</v>
      </c>
      <c r="P14" s="23"/>
      <c r="Q14" s="24"/>
      <c r="S14" s="11" t="str">
        <f t="shared" si="18"/>
        <v>5555550</v>
      </c>
      <c r="T14" s="12">
        <f t="shared" si="19"/>
        <v>89478480</v>
      </c>
      <c r="Z14" s="16">
        <f t="shared" si="20"/>
        <v>0</v>
      </c>
      <c r="AA14" s="17">
        <f t="shared" si="21"/>
        <v>0</v>
      </c>
      <c r="AB14" s="17">
        <f t="shared" si="22"/>
        <v>67108864</v>
      </c>
      <c r="AC14" s="17">
        <f t="shared" si="23"/>
        <v>16777216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256</v>
      </c>
      <c r="AL14" s="17">
        <f t="shared" si="32"/>
        <v>64</v>
      </c>
      <c r="AM14" s="17">
        <f t="shared" si="33"/>
        <v>16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>
        <v>1</v>
      </c>
      <c r="E15" s="23">
        <v>1</v>
      </c>
      <c r="F15" s="23">
        <v>1</v>
      </c>
      <c r="G15" s="23">
        <v>3</v>
      </c>
      <c r="H15" s="23">
        <v>3</v>
      </c>
      <c r="I15" s="23">
        <v>3</v>
      </c>
      <c r="J15" s="23">
        <v>3</v>
      </c>
      <c r="K15" s="23">
        <v>3</v>
      </c>
      <c r="L15" s="23">
        <v>3</v>
      </c>
      <c r="M15" s="23">
        <v>1</v>
      </c>
      <c r="N15" s="23">
        <v>1</v>
      </c>
      <c r="O15" s="23">
        <v>1</v>
      </c>
      <c r="P15" s="23"/>
      <c r="Q15" s="24"/>
      <c r="S15" s="11" t="str">
        <f t="shared" si="18"/>
        <v>57FFD50</v>
      </c>
      <c r="T15" s="12">
        <f t="shared" si="19"/>
        <v>92274000</v>
      </c>
      <c r="Z15" s="16">
        <f t="shared" si="20"/>
        <v>0</v>
      </c>
      <c r="AA15" s="17">
        <f t="shared" si="21"/>
        <v>0</v>
      </c>
      <c r="AB15" s="17">
        <f t="shared" si="22"/>
        <v>67108864</v>
      </c>
      <c r="AC15" s="17">
        <f t="shared" si="23"/>
        <v>16777216</v>
      </c>
      <c r="AD15" s="17">
        <f t="shared" si="24"/>
        <v>4194304</v>
      </c>
      <c r="AE15" s="17">
        <f t="shared" si="25"/>
        <v>3145728</v>
      </c>
      <c r="AF15" s="17">
        <f t="shared" si="26"/>
        <v>786432</v>
      </c>
      <c r="AG15" s="17">
        <f t="shared" si="27"/>
        <v>196608</v>
      </c>
      <c r="AH15" s="17">
        <f t="shared" si="28"/>
        <v>49152</v>
      </c>
      <c r="AI15" s="17">
        <f t="shared" si="29"/>
        <v>12288</v>
      </c>
      <c r="AJ15" s="17">
        <f t="shared" si="30"/>
        <v>3072</v>
      </c>
      <c r="AK15" s="17">
        <f t="shared" si="31"/>
        <v>256</v>
      </c>
      <c r="AL15" s="17">
        <f t="shared" si="32"/>
        <v>64</v>
      </c>
      <c r="AM15" s="17">
        <f t="shared" si="33"/>
        <v>16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>
        <v>1</v>
      </c>
      <c r="E16" s="23">
        <v>1</v>
      </c>
      <c r="F16" s="23">
        <v>1</v>
      </c>
      <c r="G16" s="23">
        <v>1</v>
      </c>
      <c r="H16" s="23">
        <v>1</v>
      </c>
      <c r="I16" s="23">
        <v>1</v>
      </c>
      <c r="J16" s="23">
        <v>1</v>
      </c>
      <c r="K16" s="23">
        <v>1</v>
      </c>
      <c r="L16" s="23">
        <v>1</v>
      </c>
      <c r="M16" s="23">
        <v>1</v>
      </c>
      <c r="N16" s="23">
        <v>1</v>
      </c>
      <c r="O16" s="23">
        <v>1</v>
      </c>
      <c r="P16" s="23"/>
      <c r="Q16" s="24"/>
      <c r="S16" s="11" t="str">
        <f t="shared" si="18"/>
        <v>5555550</v>
      </c>
      <c r="T16" s="12">
        <f t="shared" si="19"/>
        <v>89478480</v>
      </c>
      <c r="Z16" s="16">
        <f t="shared" si="20"/>
        <v>0</v>
      </c>
      <c r="AA16" s="17">
        <f t="shared" si="21"/>
        <v>0</v>
      </c>
      <c r="AB16" s="17">
        <f t="shared" ref="AB16:AB22" si="36" xml:space="preserve"> IF(D19=1, 2^26, IF(D19=2, 2^27, IF(D19=3, 2^26+2^27, 0)))</f>
        <v>67108864</v>
      </c>
      <c r="AC16" s="17">
        <f t="shared" ref="AC16:AC22" si="37" xml:space="preserve"> IF(E19=1, 2^24, IF(E19=2, 2^25, IF(E19=3, 2^24+2^25, 0)))</f>
        <v>16777216</v>
      </c>
      <c r="AD16" s="17">
        <f t="shared" ref="AD16:AD22" si="38" xml:space="preserve"> IF(F19=1, 2^22, IF(F19=2, 2^23, IF(F19=3, 2^22+2^23, 0)))</f>
        <v>4194304</v>
      </c>
      <c r="AE16" s="17">
        <f t="shared" ref="AE16:AE22" si="39" xml:space="preserve"> IF(G19=1, 2^20, IF(G19=2, 2^21, IF(G19=3, 2^20+2^21, 0)))</f>
        <v>1048576</v>
      </c>
      <c r="AF16" s="17">
        <f t="shared" ref="AF16:AF22" si="40" xml:space="preserve"> IF(H19=1, 2^18, IF(H19=2, 2^19, IF(H19=3, 2^18+2^19, 0)))</f>
        <v>262144</v>
      </c>
      <c r="AG16" s="17">
        <f t="shared" ref="AG16:AG22" si="41" xml:space="preserve"> IF(I19=1, 2^16, IF(I19=2, 2^17, IF(I19=3, 2^16+2^17, 0)))</f>
        <v>65536</v>
      </c>
      <c r="AH16" s="17">
        <f t="shared" ref="AH16:AH22" si="42" xml:space="preserve"> IF(J19=1, 2^14, IF(J19=2, 2^15, IF(J19=3, 2^14+2^15, 0)))</f>
        <v>16384</v>
      </c>
      <c r="AI16" s="17">
        <f t="shared" ref="AI16:AI22" si="43" xml:space="preserve"> IF(K19=1, 2^12, IF(K19=2, 2^13, IF(K19=3, 2^12+2^13, 0)))</f>
        <v>4096</v>
      </c>
      <c r="AJ16" s="17">
        <f t="shared" ref="AJ16:AJ22" si="44" xml:space="preserve"> IF(L19=1, 2^10, IF(L19=2, 2^11, IF(L19=3, 2^10+2^11, 0)))</f>
        <v>1024</v>
      </c>
      <c r="AK16" s="17">
        <f t="shared" ref="AK16:AK22" si="45" xml:space="preserve"> IF(M19=1, 2^8, IF(M19=2, 2^9, IF(M19=3, 2^8+2^9, 0)))</f>
        <v>256</v>
      </c>
      <c r="AL16" s="17">
        <f t="shared" ref="AL16:AL22" si="46" xml:space="preserve"> IF(N19=1, 2^6, IF(N19=2, 2^7, IF(N19=3, 2^6+2^7, 0)))</f>
        <v>64</v>
      </c>
      <c r="AM16" s="17">
        <f t="shared" ref="AM16:AM22" si="47" xml:space="preserve"> IF(O19=1, 2^4, IF(O19=2, 2^5, IF(O19=3, 2^4+2^5, 0)))</f>
        <v>16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>
        <v>1</v>
      </c>
      <c r="E17" s="23">
        <v>1</v>
      </c>
      <c r="F17" s="23">
        <v>1</v>
      </c>
      <c r="G17" s="23">
        <v>1</v>
      </c>
      <c r="H17" s="23">
        <v>1</v>
      </c>
      <c r="I17" s="23">
        <v>1</v>
      </c>
      <c r="J17" s="23">
        <v>1</v>
      </c>
      <c r="K17" s="23">
        <v>1</v>
      </c>
      <c r="L17" s="23">
        <v>1</v>
      </c>
      <c r="M17" s="23">
        <v>1</v>
      </c>
      <c r="N17" s="23">
        <v>1</v>
      </c>
      <c r="O17" s="23">
        <v>1</v>
      </c>
      <c r="P17" s="23"/>
      <c r="Q17" s="24"/>
      <c r="S17" s="11" t="str">
        <f t="shared" si="18"/>
        <v>4855210</v>
      </c>
      <c r="T17" s="12">
        <f t="shared" si="19"/>
        <v>75846160</v>
      </c>
      <c r="Z17" s="16">
        <f t="shared" si="20"/>
        <v>0</v>
      </c>
      <c r="AA17" s="17">
        <f t="shared" si="21"/>
        <v>0</v>
      </c>
      <c r="AB17" s="17">
        <f t="shared" si="36"/>
        <v>67108864</v>
      </c>
      <c r="AC17" s="17">
        <f t="shared" si="37"/>
        <v>0</v>
      </c>
      <c r="AD17" s="17">
        <f t="shared" si="38"/>
        <v>8388608</v>
      </c>
      <c r="AE17" s="17">
        <f t="shared" si="39"/>
        <v>0</v>
      </c>
      <c r="AF17" s="17">
        <f t="shared" si="40"/>
        <v>262144</v>
      </c>
      <c r="AG17" s="17">
        <f t="shared" si="41"/>
        <v>65536</v>
      </c>
      <c r="AH17" s="17">
        <f t="shared" si="42"/>
        <v>16384</v>
      </c>
      <c r="AI17" s="17">
        <f t="shared" si="43"/>
        <v>4096</v>
      </c>
      <c r="AJ17" s="17">
        <f t="shared" si="44"/>
        <v>0</v>
      </c>
      <c r="AK17" s="17">
        <f t="shared" si="45"/>
        <v>512</v>
      </c>
      <c r="AL17" s="17">
        <f t="shared" si="46"/>
        <v>0</v>
      </c>
      <c r="AM17" s="17">
        <f t="shared" si="47"/>
        <v>16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>
        <v>1</v>
      </c>
      <c r="E18" s="23">
        <v>1</v>
      </c>
      <c r="F18" s="23">
        <v>1</v>
      </c>
      <c r="G18" s="23">
        <v>1</v>
      </c>
      <c r="H18" s="23">
        <v>1</v>
      </c>
      <c r="I18" s="23">
        <v>1</v>
      </c>
      <c r="J18" s="23">
        <v>1</v>
      </c>
      <c r="K18" s="23">
        <v>1</v>
      </c>
      <c r="L18" s="23">
        <v>1</v>
      </c>
      <c r="M18" s="23">
        <v>1</v>
      </c>
      <c r="N18" s="23">
        <v>1</v>
      </c>
      <c r="O18" s="23">
        <v>1</v>
      </c>
      <c r="P18" s="23"/>
      <c r="Q18" s="24"/>
      <c r="S18" s="11" t="str">
        <f t="shared" si="18"/>
        <v>4800210</v>
      </c>
      <c r="T18" s="12">
        <f t="shared" si="19"/>
        <v>75498000</v>
      </c>
      <c r="Z18" s="16">
        <f t="shared" si="20"/>
        <v>0</v>
      </c>
      <c r="AA18" s="17">
        <f t="shared" si="21"/>
        <v>0</v>
      </c>
      <c r="AB18" s="17">
        <f t="shared" si="36"/>
        <v>67108864</v>
      </c>
      <c r="AC18" s="17">
        <f t="shared" si="37"/>
        <v>0</v>
      </c>
      <c r="AD18" s="17">
        <f t="shared" si="38"/>
        <v>8388608</v>
      </c>
      <c r="AE18" s="17">
        <f t="shared" si="39"/>
        <v>0</v>
      </c>
      <c r="AF18" s="17">
        <f t="shared" si="40"/>
        <v>0</v>
      </c>
      <c r="AG18" s="17">
        <f t="shared" si="41"/>
        <v>0</v>
      </c>
      <c r="AH18" s="17">
        <f t="shared" si="42"/>
        <v>0</v>
      </c>
      <c r="AI18" s="17">
        <f t="shared" si="43"/>
        <v>0</v>
      </c>
      <c r="AJ18" s="17">
        <f t="shared" si="44"/>
        <v>0</v>
      </c>
      <c r="AK18" s="17">
        <f t="shared" si="45"/>
        <v>512</v>
      </c>
      <c r="AL18" s="17">
        <f t="shared" si="46"/>
        <v>0</v>
      </c>
      <c r="AM18" s="17">
        <f t="shared" si="47"/>
        <v>16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>
        <v>1</v>
      </c>
      <c r="E19" s="23">
        <v>1</v>
      </c>
      <c r="F19" s="23">
        <v>1</v>
      </c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>
        <v>1</v>
      </c>
      <c r="N19" s="23">
        <v>1</v>
      </c>
      <c r="O19" s="23">
        <v>1</v>
      </c>
      <c r="P19" s="23"/>
      <c r="Q19" s="24"/>
      <c r="S19" s="11" t="str">
        <f t="shared" si="18"/>
        <v>4A00A10</v>
      </c>
      <c r="T19" s="12">
        <f t="shared" si="19"/>
        <v>77597200</v>
      </c>
      <c r="Z19" s="16">
        <f t="shared" si="20"/>
        <v>0</v>
      </c>
      <c r="AA19" s="17">
        <f t="shared" si="21"/>
        <v>0</v>
      </c>
      <c r="AB19" s="17">
        <f t="shared" si="36"/>
        <v>67108864</v>
      </c>
      <c r="AC19" s="17">
        <f t="shared" si="37"/>
        <v>0</v>
      </c>
      <c r="AD19" s="17">
        <f t="shared" si="38"/>
        <v>8388608</v>
      </c>
      <c r="AE19" s="17">
        <f t="shared" si="39"/>
        <v>2097152</v>
      </c>
      <c r="AF19" s="17">
        <f t="shared" si="40"/>
        <v>0</v>
      </c>
      <c r="AG19" s="17">
        <f t="shared" si="41"/>
        <v>0</v>
      </c>
      <c r="AH19" s="17">
        <f t="shared" si="42"/>
        <v>0</v>
      </c>
      <c r="AI19" s="17">
        <f t="shared" si="43"/>
        <v>0</v>
      </c>
      <c r="AJ19" s="17">
        <f t="shared" si="44"/>
        <v>2048</v>
      </c>
      <c r="AK19" s="17">
        <f t="shared" si="45"/>
        <v>512</v>
      </c>
      <c r="AL19" s="17">
        <f t="shared" si="46"/>
        <v>0</v>
      </c>
      <c r="AM19" s="17">
        <f t="shared" si="47"/>
        <v>16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>
        <v>1</v>
      </c>
      <c r="E20" s="23"/>
      <c r="F20" s="23">
        <v>2</v>
      </c>
      <c r="G20" s="23"/>
      <c r="H20" s="23">
        <v>1</v>
      </c>
      <c r="I20" s="23">
        <v>1</v>
      </c>
      <c r="J20" s="23">
        <v>1</v>
      </c>
      <c r="K20" s="23">
        <v>1</v>
      </c>
      <c r="L20" s="23"/>
      <c r="M20" s="23">
        <v>2</v>
      </c>
      <c r="N20" s="23"/>
      <c r="O20" s="23">
        <v>1</v>
      </c>
      <c r="P20" s="23"/>
      <c r="Q20" s="24"/>
      <c r="S20" s="11" t="str">
        <f t="shared" si="18"/>
        <v>4200810</v>
      </c>
      <c r="T20" s="12">
        <f t="shared" si="19"/>
        <v>69208080</v>
      </c>
      <c r="Z20" s="16">
        <f t="shared" si="20"/>
        <v>0</v>
      </c>
      <c r="AA20" s="17">
        <f t="shared" si="21"/>
        <v>0</v>
      </c>
      <c r="AB20" s="17">
        <f t="shared" si="36"/>
        <v>67108864</v>
      </c>
      <c r="AC20" s="17">
        <f t="shared" si="37"/>
        <v>0</v>
      </c>
      <c r="AD20" s="17">
        <f t="shared" si="38"/>
        <v>0</v>
      </c>
      <c r="AE20" s="17">
        <f t="shared" si="39"/>
        <v>2097152</v>
      </c>
      <c r="AF20" s="17">
        <f t="shared" si="40"/>
        <v>0</v>
      </c>
      <c r="AG20" s="17">
        <f t="shared" si="41"/>
        <v>0</v>
      </c>
      <c r="AH20" s="17">
        <f t="shared" si="42"/>
        <v>0</v>
      </c>
      <c r="AI20" s="17">
        <f t="shared" si="43"/>
        <v>0</v>
      </c>
      <c r="AJ20" s="17">
        <f t="shared" si="44"/>
        <v>2048</v>
      </c>
      <c r="AK20" s="17">
        <f t="shared" si="45"/>
        <v>0</v>
      </c>
      <c r="AL20" s="17">
        <f t="shared" si="46"/>
        <v>0</v>
      </c>
      <c r="AM20" s="17">
        <f t="shared" si="47"/>
        <v>16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>
        <v>1</v>
      </c>
      <c r="E21" s="23"/>
      <c r="F21" s="23">
        <v>2</v>
      </c>
      <c r="G21" s="23"/>
      <c r="H21" s="23"/>
      <c r="I21" s="23"/>
      <c r="J21" s="23"/>
      <c r="K21" s="23"/>
      <c r="L21" s="23"/>
      <c r="M21" s="23">
        <v>2</v>
      </c>
      <c r="N21" s="23"/>
      <c r="O21" s="23">
        <v>1</v>
      </c>
      <c r="P21" s="23"/>
      <c r="Q21" s="24"/>
      <c r="S21" s="11" t="str">
        <f t="shared" si="18"/>
        <v>200800</v>
      </c>
      <c r="T21" s="12">
        <f t="shared" si="19"/>
        <v>2099200</v>
      </c>
      <c r="Z21" s="16">
        <f t="shared" si="20"/>
        <v>0</v>
      </c>
      <c r="AA21" s="17">
        <f t="shared" si="21"/>
        <v>0</v>
      </c>
      <c r="AB21" s="17">
        <f t="shared" si="36"/>
        <v>0</v>
      </c>
      <c r="AC21" s="17">
        <f t="shared" si="37"/>
        <v>0</v>
      </c>
      <c r="AD21" s="17">
        <f t="shared" si="38"/>
        <v>0</v>
      </c>
      <c r="AE21" s="17">
        <f t="shared" si="39"/>
        <v>2097152</v>
      </c>
      <c r="AF21" s="17">
        <f t="shared" si="40"/>
        <v>0</v>
      </c>
      <c r="AG21" s="17">
        <f t="shared" si="41"/>
        <v>0</v>
      </c>
      <c r="AH21" s="17">
        <f t="shared" si="42"/>
        <v>0</v>
      </c>
      <c r="AI21" s="17">
        <f t="shared" si="43"/>
        <v>0</v>
      </c>
      <c r="AJ21" s="17">
        <f t="shared" si="44"/>
        <v>2048</v>
      </c>
      <c r="AK21" s="17">
        <f t="shared" si="45"/>
        <v>0</v>
      </c>
      <c r="AL21" s="17">
        <f t="shared" si="46"/>
        <v>0</v>
      </c>
      <c r="AM21" s="17">
        <f t="shared" si="47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>
        <v>1</v>
      </c>
      <c r="E22" s="23"/>
      <c r="F22" s="23">
        <v>2</v>
      </c>
      <c r="G22" s="23">
        <v>2</v>
      </c>
      <c r="H22" s="23"/>
      <c r="I22" s="23"/>
      <c r="J22" s="23"/>
      <c r="K22" s="23"/>
      <c r="L22" s="23">
        <v>2</v>
      </c>
      <c r="M22" s="23">
        <v>2</v>
      </c>
      <c r="N22" s="23"/>
      <c r="O22" s="23">
        <v>1</v>
      </c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36"/>
        <v>0</v>
      </c>
      <c r="AC22" s="17">
        <f t="shared" si="37"/>
        <v>0</v>
      </c>
      <c r="AD22" s="17">
        <f t="shared" si="38"/>
        <v>0</v>
      </c>
      <c r="AE22" s="17">
        <f t="shared" si="39"/>
        <v>0</v>
      </c>
      <c r="AF22" s="17">
        <f t="shared" si="40"/>
        <v>0</v>
      </c>
      <c r="AG22" s="17">
        <f t="shared" si="41"/>
        <v>0</v>
      </c>
      <c r="AH22" s="17">
        <f t="shared" si="42"/>
        <v>0</v>
      </c>
      <c r="AI22" s="17">
        <f t="shared" si="43"/>
        <v>0</v>
      </c>
      <c r="AJ22" s="17">
        <f t="shared" si="44"/>
        <v>0</v>
      </c>
      <c r="AK22" s="17">
        <f t="shared" si="45"/>
        <v>0</v>
      </c>
      <c r="AL22" s="17">
        <f t="shared" si="46"/>
        <v>0</v>
      </c>
      <c r="AM22" s="17">
        <f t="shared" si="47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>
        <v>1</v>
      </c>
      <c r="E23" s="23"/>
      <c r="F23" s="23"/>
      <c r="G23" s="23">
        <v>2</v>
      </c>
      <c r="H23" s="23"/>
      <c r="I23" s="23"/>
      <c r="J23" s="23"/>
      <c r="K23" s="23"/>
      <c r="L23" s="23">
        <v>2</v>
      </c>
      <c r="M23" s="23"/>
      <c r="N23" s="23"/>
      <c r="O23" s="23">
        <v>1</v>
      </c>
      <c r="P23" s="23"/>
      <c r="Q23" s="24"/>
      <c r="S23" s="11" t="str">
        <f t="shared" si="18"/>
        <v>0</v>
      </c>
      <c r="T23" s="12">
        <f t="shared" si="19"/>
        <v>0</v>
      </c>
      <c r="Z23" s="16">
        <f t="shared" ref="Z23:Z26" si="48" xml:space="preserve"> IF(B23=1, 2^30, IF(B23=2, 2^31, IF(B23=3, 2^30+2^31, 0)))</f>
        <v>0</v>
      </c>
      <c r="AA23" s="17">
        <f t="shared" ref="AA23:AA26" si="49" xml:space="preserve"> IF(C23=1, 2^28, IF(C23=2, 2^29, IF(C23=3, 2^28+2^29, 0)))</f>
        <v>0</v>
      </c>
      <c r="AB23" s="17">
        <f t="shared" ref="AB23:AB26" si="50" xml:space="preserve"> IF(D26=1, 2^26, IF(D26=2, 2^27, IF(D26=3, 2^26+2^27, 0)))</f>
        <v>0</v>
      </c>
      <c r="AC23" s="17">
        <f t="shared" ref="AC23:AC26" si="51" xml:space="preserve"> IF(E26=1, 2^24, IF(E26=2, 2^25, IF(E26=3, 2^24+2^25, 0)))</f>
        <v>0</v>
      </c>
      <c r="AD23" s="17">
        <f t="shared" ref="AD23:AD26" si="52" xml:space="preserve"> IF(F26=1, 2^22, IF(F26=2, 2^23, IF(F26=3, 2^22+2^23, 0)))</f>
        <v>0</v>
      </c>
      <c r="AE23" s="17">
        <f t="shared" ref="AE23:AE26" si="53" xml:space="preserve"> IF(G26=1, 2^20, IF(G26=2, 2^21, IF(G26=3, 2^20+2^21, 0)))</f>
        <v>0</v>
      </c>
      <c r="AF23" s="17">
        <f t="shared" ref="AF23:AF26" si="54" xml:space="preserve"> IF(H26=1, 2^18, IF(H26=2, 2^19, IF(H26=3, 2^18+2^19, 0)))</f>
        <v>0</v>
      </c>
      <c r="AG23" s="17">
        <f t="shared" ref="AG23:AG26" si="55" xml:space="preserve"> IF(I26=1, 2^16, IF(I26=2, 2^17, IF(I26=3, 2^16+2^17, 0)))</f>
        <v>0</v>
      </c>
      <c r="AH23" s="17">
        <f t="shared" ref="AH23:AH26" si="56" xml:space="preserve"> IF(J26=1, 2^14, IF(J26=2, 2^15, IF(J26=3, 2^14+2^15, 0)))</f>
        <v>0</v>
      </c>
      <c r="AI23" s="17">
        <f t="shared" ref="AI23:AI26" si="57" xml:space="preserve"> IF(K26=1, 2^12, IF(K26=2, 2^13, IF(K26=3, 2^12+2^13, 0)))</f>
        <v>0</v>
      </c>
      <c r="AJ23" s="17">
        <f t="shared" ref="AJ23:AJ26" si="58" xml:space="preserve"> IF(L26=1, 2^10, IF(L26=2, 2^11, IF(L26=3, 2^10+2^11, 0)))</f>
        <v>0</v>
      </c>
      <c r="AK23" s="17">
        <f t="shared" ref="AK23:AK26" si="59" xml:space="preserve"> IF(M26=1, 2^8, IF(M26=2, 2^9, IF(M26=3, 2^8+2^9, 0)))</f>
        <v>0</v>
      </c>
      <c r="AL23" s="17">
        <f t="shared" ref="AL23:AL26" si="60" xml:space="preserve"> IF(N26=1, 2^6, IF(N26=2, 2^7, IF(N26=3, 2^6+2^7, 0)))</f>
        <v>0</v>
      </c>
      <c r="AM23" s="17">
        <f t="shared" ref="AM23:AM26" si="61" xml:space="preserve"> IF(O26=1, 2^4, IF(O26=2, 2^5, IF(O26=3, 2^4+2^5, 0)))</f>
        <v>0</v>
      </c>
      <c r="AN23" s="17">
        <f t="shared" ref="AN23:AN26" si="62" xml:space="preserve"> IF(P23=1, 2^2, IF(P23=2, 2^3, IF(P23=3, 2^2+2^3, 0)))</f>
        <v>0</v>
      </c>
      <c r="AO23" s="18">
        <f t="shared" ref="AO23:AO26" si="63" xml:space="preserve"> IF(Q23=1, 2^0, IF(Q23=2, 2^1, IF(Q23=3, 2^0+2^1, 0)))</f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>
        <v>2</v>
      </c>
      <c r="H24" s="23"/>
      <c r="I24" s="23"/>
      <c r="J24" s="23"/>
      <c r="K24" s="23"/>
      <c r="L24" s="23">
        <v>2</v>
      </c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48"/>
        <v>0</v>
      </c>
      <c r="AA24" s="17">
        <f t="shared" si="49"/>
        <v>0</v>
      </c>
      <c r="AB24" s="17">
        <f t="shared" si="50"/>
        <v>0</v>
      </c>
      <c r="AC24" s="17">
        <f t="shared" si="51"/>
        <v>0</v>
      </c>
      <c r="AD24" s="17">
        <f t="shared" si="52"/>
        <v>0</v>
      </c>
      <c r="AE24" s="17">
        <f t="shared" si="53"/>
        <v>0</v>
      </c>
      <c r="AF24" s="17">
        <f t="shared" si="54"/>
        <v>0</v>
      </c>
      <c r="AG24" s="17">
        <f t="shared" si="55"/>
        <v>0</v>
      </c>
      <c r="AH24" s="17">
        <f t="shared" si="56"/>
        <v>0</v>
      </c>
      <c r="AI24" s="17">
        <f t="shared" si="57"/>
        <v>0</v>
      </c>
      <c r="AJ24" s="17">
        <f t="shared" si="58"/>
        <v>0</v>
      </c>
      <c r="AK24" s="17">
        <f t="shared" si="59"/>
        <v>0</v>
      </c>
      <c r="AL24" s="17">
        <f t="shared" si="60"/>
        <v>0</v>
      </c>
      <c r="AM24" s="17">
        <f t="shared" si="61"/>
        <v>0</v>
      </c>
      <c r="AN24" s="17">
        <f t="shared" si="62"/>
        <v>0</v>
      </c>
      <c r="AO24" s="18">
        <f t="shared" si="63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48"/>
        <v>0</v>
      </c>
      <c r="AA25" s="17">
        <f t="shared" si="49"/>
        <v>0</v>
      </c>
      <c r="AB25" s="17">
        <f t="shared" si="50"/>
        <v>0</v>
      </c>
      <c r="AC25" s="17">
        <f t="shared" si="51"/>
        <v>0</v>
      </c>
      <c r="AD25" s="17">
        <f t="shared" si="52"/>
        <v>0</v>
      </c>
      <c r="AE25" s="17">
        <f t="shared" si="53"/>
        <v>0</v>
      </c>
      <c r="AF25" s="17">
        <f t="shared" si="54"/>
        <v>0</v>
      </c>
      <c r="AG25" s="17">
        <f t="shared" si="55"/>
        <v>0</v>
      </c>
      <c r="AH25" s="17">
        <f t="shared" si="56"/>
        <v>0</v>
      </c>
      <c r="AI25" s="17">
        <f t="shared" si="57"/>
        <v>0</v>
      </c>
      <c r="AJ25" s="17">
        <f t="shared" si="58"/>
        <v>0</v>
      </c>
      <c r="AK25" s="17">
        <f t="shared" si="59"/>
        <v>0</v>
      </c>
      <c r="AL25" s="17">
        <f t="shared" si="60"/>
        <v>0</v>
      </c>
      <c r="AM25" s="17">
        <f t="shared" si="61"/>
        <v>0</v>
      </c>
      <c r="AN25" s="17">
        <f t="shared" si="62"/>
        <v>0</v>
      </c>
      <c r="AO25" s="18">
        <f t="shared" si="63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48"/>
        <v>0</v>
      </c>
      <c r="AA26" s="17">
        <f t="shared" si="49"/>
        <v>0</v>
      </c>
      <c r="AB26" s="17">
        <f t="shared" si="50"/>
        <v>0</v>
      </c>
      <c r="AC26" s="17">
        <f t="shared" si="51"/>
        <v>0</v>
      </c>
      <c r="AD26" s="17">
        <f t="shared" si="52"/>
        <v>0</v>
      </c>
      <c r="AE26" s="17">
        <f t="shared" si="53"/>
        <v>0</v>
      </c>
      <c r="AF26" s="17">
        <f t="shared" si="54"/>
        <v>0</v>
      </c>
      <c r="AG26" s="17">
        <f t="shared" si="55"/>
        <v>0</v>
      </c>
      <c r="AH26" s="17">
        <f t="shared" si="56"/>
        <v>0</v>
      </c>
      <c r="AI26" s="17">
        <f t="shared" si="57"/>
        <v>0</v>
      </c>
      <c r="AJ26" s="17">
        <f t="shared" si="58"/>
        <v>0</v>
      </c>
      <c r="AK26" s="17">
        <f t="shared" si="59"/>
        <v>0</v>
      </c>
      <c r="AL26" s="17">
        <f t="shared" si="60"/>
        <v>0</v>
      </c>
      <c r="AM26" s="17">
        <f t="shared" si="61"/>
        <v>0</v>
      </c>
      <c r="AN26" s="17">
        <f t="shared" si="62"/>
        <v>0</v>
      </c>
      <c r="AO26" s="18">
        <f t="shared" si="63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conditionalFormatting sqref="B2:Q33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3</formula>
    </cfRule>
    <cfRule type="cellIs" dxfId="1" priority="5" operator="equal">
      <formula>1</formula>
    </cfRule>
    <cfRule type="cellIs" dxfId="0" priority="6" operator="equal">
      <formula>2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2015-06-23T13:04:06Z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