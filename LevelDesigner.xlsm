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936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1" l="1"/>
  <c r="S5" i="1" s="1"/>
  <c r="T7" i="1"/>
  <c r="S7" i="1" s="1"/>
  <c r="T9" i="1"/>
  <c r="S9" i="1" s="1"/>
  <c r="S14" i="1"/>
  <c r="T14" i="1"/>
  <c r="S18" i="1"/>
  <c r="T18" i="1"/>
  <c r="S19" i="1"/>
  <c r="T19" i="1"/>
  <c r="T21" i="1"/>
  <c r="S21" i="1" s="1"/>
  <c r="S22" i="1"/>
  <c r="T22" i="1"/>
  <c r="S23" i="1"/>
  <c r="T23" i="1"/>
  <c r="T24" i="1"/>
  <c r="S24" i="1" s="1"/>
  <c r="S25" i="1"/>
  <c r="T25" i="1"/>
  <c r="S26" i="1"/>
  <c r="T26" i="1"/>
  <c r="S27" i="1"/>
  <c r="T27" i="1"/>
  <c r="T28" i="1"/>
  <c r="S28" i="1" s="1"/>
  <c r="T29" i="1"/>
  <c r="S29" i="1" s="1"/>
  <c r="S30" i="1"/>
  <c r="T30" i="1"/>
  <c r="S31" i="1"/>
  <c r="T31" i="1"/>
  <c r="T33" i="1"/>
  <c r="S33" i="1" s="1"/>
  <c r="S2" i="1"/>
  <c r="T2" i="1"/>
  <c r="S3" i="1"/>
  <c r="T3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T16" i="1" s="1"/>
  <c r="S16" i="1" s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T17" i="1" s="1"/>
  <c r="S17" i="1" s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T20" i="1" s="1"/>
  <c r="S20" i="1" s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T32" i="1" s="1"/>
  <c r="S32" i="1" s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15" i="1" l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<sst xmlns="http://schemas.openxmlformats.org/spreadsheetml/2006/main" count="2" uniqueCount="2">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</sst>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L19" sqref="L19"/>
    </sheetView>
  </sheetViews>
  <sheetFormatPr defaultColWidth="3.6640625" defaultRowHeight="14.4" x14ac:dyDescent="0.3"/>
  <cols>
    <col min="2" max="17" width="4.7773437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3">
      <c r="A3" s="4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4"/>
      <c r="S3" s="11" t="str">
        <f t="shared" si="0"/>
        <v>0</v>
      </c>
      <c r="T3" s="12">
        <f t="shared" si="1"/>
        <v>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0</v>
      </c>
      <c r="AG3" s="17">
        <f t="shared" si="9"/>
        <v>0</v>
      </c>
      <c r="AH3" s="17">
        <f t="shared" si="10"/>
        <v>0</v>
      </c>
      <c r="AI3" s="17">
        <f t="shared" si="11"/>
        <v>0</v>
      </c>
      <c r="AJ3" s="17">
        <f t="shared" si="12"/>
        <v>0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3">
      <c r="A4" s="4">
        <v>2</v>
      </c>
      <c r="B4" s="23"/>
      <c r="C4" s="23">
        <v>2</v>
      </c>
      <c r="D4" s="23">
        <v>2</v>
      </c>
      <c r="E4" s="25">
        <v>2</v>
      </c>
      <c r="F4" s="25">
        <v>2</v>
      </c>
      <c r="G4" s="25">
        <v>2</v>
      </c>
      <c r="H4" s="25">
        <v>2</v>
      </c>
      <c r="I4" s="25">
        <v>2</v>
      </c>
      <c r="J4" s="25">
        <v>2</v>
      </c>
      <c r="K4" s="25">
        <v>2</v>
      </c>
      <c r="L4" s="25">
        <v>2</v>
      </c>
      <c r="M4" s="25">
        <v>2</v>
      </c>
      <c r="N4" s="25">
        <v>2</v>
      </c>
      <c r="O4" s="25">
        <v>2</v>
      </c>
      <c r="P4" s="25">
        <v>2</v>
      </c>
      <c r="Q4" s="26"/>
      <c r="S4" s="11" t="str">
        <f>DEC2HEX(T4)</f>
        <v>2AAAAAA8</v>
      </c>
      <c r="T4" s="12">
        <f>SUM(Z4:AO4)</f>
        <v>715827880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536870912</v>
      </c>
      <c r="AB4" s="17">
        <f xml:space="preserve"> IF(D4=1, 2^26, IF(D4=2, 2^27, IF(D4=3, 2^26+2^27, 0)))</f>
        <v>134217728</v>
      </c>
      <c r="AC4" s="17">
        <f xml:space="preserve"> IF(E4=1, 2^24, IF(E4=2, 2^25, IF(E4=3, 2^24+2^25, 0)))</f>
        <v>33554432</v>
      </c>
      <c r="AD4" s="17">
        <f xml:space="preserve"> IF(F4=1, 2^22, IF(F4=2, 2^23, IF(F4=3, 2^22+2^23, 0)))</f>
        <v>8388608</v>
      </c>
      <c r="AE4" s="17">
        <f xml:space="preserve"> IF(G4=1, 2^20, IF(G4=2, 2^21, IF(G4=3, 2^20+2^21, 0)))</f>
        <v>2097152</v>
      </c>
      <c r="AF4" s="17">
        <f xml:space="preserve"> IF(H4=1, 2^18, IF(H4=2, 2^19, IF(H4=3, 2^18+2^19, 0)))</f>
        <v>524288</v>
      </c>
      <c r="AG4" s="17">
        <f xml:space="preserve"> IF(I4=1, 2^16, IF(I4=2, 2^17, IF(I4=3, 2^16+2^17, 0)))</f>
        <v>131072</v>
      </c>
      <c r="AH4" s="17">
        <f xml:space="preserve"> IF(J4=1, 2^14, IF(J4=2, 2^15, IF(J4=3, 2^14+2^15, 0)))</f>
        <v>32768</v>
      </c>
      <c r="AI4" s="17">
        <f xml:space="preserve"> IF(K4=1, 2^12, IF(K4=2, 2^13, IF(K4=3, 2^12+2^13, 0)))</f>
        <v>8192</v>
      </c>
      <c r="AJ4" s="17">
        <f xml:space="preserve"> IF(L4=1, 2^10, IF(L4=2, 2^11, IF(L4=3, 2^10+2^11, 0)))</f>
        <v>2048</v>
      </c>
      <c r="AK4" s="17">
        <f xml:space="preserve"> IF(M4=1, 2^8, IF(M4=2, 2^9, IF(M4=3, 2^8+2^9, 0)))</f>
        <v>512</v>
      </c>
      <c r="AL4" s="17">
        <f xml:space="preserve"> IF(N4=1, 2^6, IF(N4=2, 2^7, IF(N4=3, 2^6+2^7, 0)))</f>
        <v>128</v>
      </c>
      <c r="AM4" s="17">
        <f xml:space="preserve"> IF(O4=1, 2^4, IF(O4=2, 2^5, IF(O4=3, 2^4+2^5, 0)))</f>
        <v>32</v>
      </c>
      <c r="AN4" s="17">
        <f xml:space="preserve"> IF(P4=1, 2^2, IF(P4=2, 2^3, IF(P4=3, 2^2+2^3, 0)))</f>
        <v>8</v>
      </c>
      <c r="AO4" s="18">
        <f xml:space="preserve"> IF(Q4=1, 2^0, IF(Q4=2, 2^1, IF(Q4=3, 2^0+2^1, 0)))</f>
        <v>0</v>
      </c>
    </row>
    <row r="5" spans="1:41" x14ac:dyDescent="0.3">
      <c r="A5" s="4">
        <v>3</v>
      </c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4"/>
      <c r="S5" s="11" t="str">
        <f t="shared" ref="S5:S33" si="18">DEC2HEX(T5)</f>
        <v>0</v>
      </c>
      <c r="T5" s="12">
        <f t="shared" ref="T5:T33" si="19">SUM(Z5:AO5)</f>
        <v>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0</v>
      </c>
      <c r="AF5" s="17">
        <f t="shared" ref="AF5:AF33" si="26" xml:space="preserve"> IF(H5=1, 2^18, IF(H5=2, 2^19, IF(H5=3, 2^18+2^19, 0)))</f>
        <v>0</v>
      </c>
      <c r="AG5" s="17">
        <f t="shared" ref="AG5:AG33" si="27" xml:space="preserve"> IF(I5=1, 2^16, IF(I5=2, 2^17, IF(I5=3, 2^16+2^17, 0)))</f>
        <v>0</v>
      </c>
      <c r="AH5" s="17">
        <f t="shared" ref="AH5:AH33" si="28" xml:space="preserve"> IF(J5=1, 2^14, IF(J5=2, 2^15, IF(J5=3, 2^14+2^15, 0)))</f>
        <v>0</v>
      </c>
      <c r="AI5" s="17">
        <f t="shared" ref="AI5:AI33" si="29" xml:space="preserve"> IF(K5=1, 2^12, IF(K5=2, 2^13, IF(K5=3, 2^12+2^13, 0)))</f>
        <v>0</v>
      </c>
      <c r="AJ5" s="17">
        <f t="shared" ref="AJ5:AJ33" si="30" xml:space="preserve"> IF(L5=1, 2^10, IF(L5=2, 2^11, IF(L5=3, 2^10+2^11, 0)))</f>
        <v>0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3">
      <c r="A6" s="4">
        <v>4</v>
      </c>
      <c r="B6" s="23"/>
      <c r="C6" s="23"/>
      <c r="D6" s="23">
        <v>1</v>
      </c>
      <c r="E6" s="23"/>
      <c r="F6" s="23"/>
      <c r="G6" s="23">
        <v>1</v>
      </c>
      <c r="H6" s="23"/>
      <c r="I6" s="23"/>
      <c r="J6" s="23"/>
      <c r="K6" s="23"/>
      <c r="L6" s="23">
        <v>1</v>
      </c>
      <c r="M6" s="23"/>
      <c r="N6" s="23"/>
      <c r="O6" s="23">
        <v>1</v>
      </c>
      <c r="P6" s="23"/>
      <c r="Q6" s="24"/>
      <c r="S6" s="11" t="str">
        <f t="shared" si="18"/>
        <v>4100410</v>
      </c>
      <c r="T6" s="12">
        <f t="shared" si="19"/>
        <v>68158480</v>
      </c>
      <c r="Z6" s="16">
        <f t="shared" si="20"/>
        <v>0</v>
      </c>
      <c r="AA6" s="17">
        <f t="shared" si="21"/>
        <v>0</v>
      </c>
      <c r="AB6" s="17">
        <f t="shared" si="22"/>
        <v>67108864</v>
      </c>
      <c r="AC6" s="17">
        <f t="shared" si="23"/>
        <v>0</v>
      </c>
      <c r="AD6" s="17">
        <f t="shared" si="24"/>
        <v>0</v>
      </c>
      <c r="AE6" s="17">
        <f t="shared" si="25"/>
        <v>1048576</v>
      </c>
      <c r="AF6" s="17">
        <f t="shared" si="26"/>
        <v>0</v>
      </c>
      <c r="AG6" s="17">
        <f t="shared" si="27"/>
        <v>0</v>
      </c>
      <c r="AH6" s="17">
        <f t="shared" si="28"/>
        <v>0</v>
      </c>
      <c r="AI6" s="17">
        <f t="shared" si="29"/>
        <v>0</v>
      </c>
      <c r="AJ6" s="17">
        <f t="shared" si="30"/>
        <v>1024</v>
      </c>
      <c r="AK6" s="17">
        <f t="shared" si="31"/>
        <v>0</v>
      </c>
      <c r="AL6" s="17">
        <f t="shared" si="32"/>
        <v>0</v>
      </c>
      <c r="AM6" s="17">
        <f t="shared" si="33"/>
        <v>16</v>
      </c>
      <c r="AN6" s="17">
        <f t="shared" si="34"/>
        <v>0</v>
      </c>
      <c r="AO6" s="18">
        <f t="shared" si="35"/>
        <v>0</v>
      </c>
    </row>
    <row r="7" spans="1:41" x14ac:dyDescent="0.3">
      <c r="A7" s="4">
        <v>5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4"/>
      <c r="S7" s="11" t="str">
        <f t="shared" si="18"/>
        <v>0</v>
      </c>
      <c r="T7" s="12">
        <f t="shared" si="19"/>
        <v>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0</v>
      </c>
      <c r="AD7" s="17">
        <f t="shared" si="24"/>
        <v>0</v>
      </c>
      <c r="AE7" s="17">
        <f t="shared" si="25"/>
        <v>0</v>
      </c>
      <c r="AF7" s="17">
        <f t="shared" si="26"/>
        <v>0</v>
      </c>
      <c r="AG7" s="17">
        <f t="shared" si="27"/>
        <v>0</v>
      </c>
      <c r="AH7" s="17">
        <f t="shared" si="28"/>
        <v>0</v>
      </c>
      <c r="AI7" s="17">
        <f t="shared" si="29"/>
        <v>0</v>
      </c>
      <c r="AJ7" s="17">
        <f t="shared" si="30"/>
        <v>0</v>
      </c>
      <c r="AK7" s="17">
        <f t="shared" si="31"/>
        <v>0</v>
      </c>
      <c r="AL7" s="17">
        <f t="shared" si="32"/>
        <v>0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3">
      <c r="A8" s="4">
        <v>6</v>
      </c>
      <c r="B8" s="23"/>
      <c r="C8" s="23"/>
      <c r="D8" s="23"/>
      <c r="E8" s="23">
        <v>3</v>
      </c>
      <c r="F8" s="23">
        <v>3</v>
      </c>
      <c r="G8" s="23"/>
      <c r="H8" s="23"/>
      <c r="I8" s="23"/>
      <c r="J8" s="23"/>
      <c r="K8" s="23"/>
      <c r="L8" s="23"/>
      <c r="M8" s="23">
        <v>3</v>
      </c>
      <c r="N8" s="23">
        <v>3</v>
      </c>
      <c r="O8" s="23"/>
      <c r="P8" s="23"/>
      <c r="Q8" s="24"/>
      <c r="S8" s="11" t="str">
        <f t="shared" si="18"/>
        <v>3C003C0</v>
      </c>
      <c r="T8" s="12">
        <f t="shared" si="19"/>
        <v>62915520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50331648</v>
      </c>
      <c r="AD8" s="17">
        <f t="shared" si="24"/>
        <v>12582912</v>
      </c>
      <c r="AE8" s="17">
        <f t="shared" si="25"/>
        <v>0</v>
      </c>
      <c r="AF8" s="17">
        <f t="shared" si="26"/>
        <v>0</v>
      </c>
      <c r="AG8" s="17">
        <f t="shared" si="27"/>
        <v>0</v>
      </c>
      <c r="AH8" s="17">
        <f t="shared" si="28"/>
        <v>0</v>
      </c>
      <c r="AI8" s="17">
        <f t="shared" si="29"/>
        <v>0</v>
      </c>
      <c r="AJ8" s="17">
        <f t="shared" si="30"/>
        <v>0</v>
      </c>
      <c r="AK8" s="17">
        <f t="shared" si="31"/>
        <v>768</v>
      </c>
      <c r="AL8" s="17">
        <f t="shared" si="32"/>
        <v>192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3">
      <c r="A9" s="4">
        <v>7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4"/>
      <c r="S9" s="11" t="str">
        <f t="shared" si="18"/>
        <v>0</v>
      </c>
      <c r="T9" s="12">
        <f t="shared" si="19"/>
        <v>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0</v>
      </c>
      <c r="AD9" s="17">
        <f t="shared" si="24"/>
        <v>0</v>
      </c>
      <c r="AE9" s="17">
        <f t="shared" si="25"/>
        <v>0</v>
      </c>
      <c r="AF9" s="17">
        <f t="shared" si="26"/>
        <v>0</v>
      </c>
      <c r="AG9" s="17">
        <f t="shared" si="27"/>
        <v>0</v>
      </c>
      <c r="AH9" s="17">
        <f t="shared" si="28"/>
        <v>0</v>
      </c>
      <c r="AI9" s="17">
        <f t="shared" si="29"/>
        <v>0</v>
      </c>
      <c r="AJ9" s="17">
        <f t="shared" si="30"/>
        <v>0</v>
      </c>
      <c r="AK9" s="17">
        <f t="shared" si="31"/>
        <v>0</v>
      </c>
      <c r="AL9" s="17">
        <f t="shared" si="32"/>
        <v>0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3">
      <c r="A10" s="4">
        <v>8</v>
      </c>
      <c r="B10" s="23"/>
      <c r="C10" s="23">
        <v>2</v>
      </c>
      <c r="D10" s="23">
        <v>2</v>
      </c>
      <c r="E10" s="23"/>
      <c r="F10" s="23">
        <v>2</v>
      </c>
      <c r="G10" s="23">
        <v>2</v>
      </c>
      <c r="H10" s="23"/>
      <c r="I10" s="23">
        <v>2</v>
      </c>
      <c r="J10" s="23">
        <v>2</v>
      </c>
      <c r="K10" s="23"/>
      <c r="L10" s="23">
        <v>2</v>
      </c>
      <c r="M10" s="23">
        <v>2</v>
      </c>
      <c r="N10" s="23"/>
      <c r="O10" s="23">
        <v>2</v>
      </c>
      <c r="P10" s="23">
        <v>2</v>
      </c>
      <c r="Q10" s="24"/>
      <c r="S10" s="11" t="str">
        <f t="shared" si="18"/>
        <v>28A28A28</v>
      </c>
      <c r="T10" s="12">
        <f t="shared" si="19"/>
        <v>681740840</v>
      </c>
      <c r="Z10" s="16">
        <f t="shared" si="20"/>
        <v>0</v>
      </c>
      <c r="AA10" s="17">
        <f t="shared" si="21"/>
        <v>536870912</v>
      </c>
      <c r="AB10" s="17">
        <f t="shared" si="22"/>
        <v>134217728</v>
      </c>
      <c r="AC10" s="17">
        <f t="shared" si="23"/>
        <v>0</v>
      </c>
      <c r="AD10" s="17">
        <f t="shared" si="24"/>
        <v>8388608</v>
      </c>
      <c r="AE10" s="17">
        <f t="shared" si="25"/>
        <v>2097152</v>
      </c>
      <c r="AF10" s="17">
        <f t="shared" si="26"/>
        <v>0</v>
      </c>
      <c r="AG10" s="17">
        <f t="shared" si="27"/>
        <v>131072</v>
      </c>
      <c r="AH10" s="17">
        <f t="shared" si="28"/>
        <v>32768</v>
      </c>
      <c r="AI10" s="17">
        <f t="shared" si="29"/>
        <v>0</v>
      </c>
      <c r="AJ10" s="17">
        <f t="shared" si="30"/>
        <v>2048</v>
      </c>
      <c r="AK10" s="17">
        <f t="shared" si="31"/>
        <v>512</v>
      </c>
      <c r="AL10" s="17">
        <f t="shared" si="32"/>
        <v>0</v>
      </c>
      <c r="AM10" s="17">
        <f t="shared" si="33"/>
        <v>32</v>
      </c>
      <c r="AN10" s="17">
        <f t="shared" si="34"/>
        <v>8</v>
      </c>
      <c r="AO10" s="18">
        <f t="shared" si="35"/>
        <v>0</v>
      </c>
    </row>
    <row r="11" spans="1:41" x14ac:dyDescent="0.3">
      <c r="A11" s="4">
        <v>9</v>
      </c>
      <c r="B11" s="23"/>
      <c r="C11" s="23">
        <v>1</v>
      </c>
      <c r="D11" s="23">
        <v>1</v>
      </c>
      <c r="E11" s="23"/>
      <c r="F11" s="23">
        <v>1</v>
      </c>
      <c r="G11" s="23">
        <v>1</v>
      </c>
      <c r="H11" s="23"/>
      <c r="I11" s="23">
        <v>1</v>
      </c>
      <c r="J11" s="23">
        <v>1</v>
      </c>
      <c r="K11" s="23"/>
      <c r="L11" s="23">
        <v>1</v>
      </c>
      <c r="M11" s="23">
        <v>1</v>
      </c>
      <c r="N11" s="23"/>
      <c r="O11" s="23">
        <v>1</v>
      </c>
      <c r="P11" s="23">
        <v>1</v>
      </c>
      <c r="Q11" s="24"/>
      <c r="S11" s="11" t="str">
        <f t="shared" si="18"/>
        <v>14514514</v>
      </c>
      <c r="T11" s="12">
        <f t="shared" si="19"/>
        <v>340870420</v>
      </c>
      <c r="Z11" s="16">
        <f t="shared" si="20"/>
        <v>0</v>
      </c>
      <c r="AA11" s="17">
        <f t="shared" si="21"/>
        <v>268435456</v>
      </c>
      <c r="AB11" s="17">
        <f t="shared" si="22"/>
        <v>67108864</v>
      </c>
      <c r="AC11" s="17">
        <f t="shared" si="23"/>
        <v>0</v>
      </c>
      <c r="AD11" s="17">
        <f t="shared" si="24"/>
        <v>4194304</v>
      </c>
      <c r="AE11" s="17">
        <f t="shared" si="25"/>
        <v>1048576</v>
      </c>
      <c r="AF11" s="17">
        <f t="shared" si="26"/>
        <v>0</v>
      </c>
      <c r="AG11" s="17">
        <f t="shared" si="27"/>
        <v>65536</v>
      </c>
      <c r="AH11" s="17">
        <f t="shared" si="28"/>
        <v>16384</v>
      </c>
      <c r="AI11" s="17">
        <f t="shared" si="29"/>
        <v>0</v>
      </c>
      <c r="AJ11" s="17">
        <f t="shared" si="30"/>
        <v>1024</v>
      </c>
      <c r="AK11" s="17">
        <f t="shared" si="31"/>
        <v>256</v>
      </c>
      <c r="AL11" s="17">
        <f t="shared" si="32"/>
        <v>0</v>
      </c>
      <c r="AM11" s="17">
        <f t="shared" si="33"/>
        <v>16</v>
      </c>
      <c r="AN11" s="17">
        <f t="shared" si="34"/>
        <v>4</v>
      </c>
      <c r="AO11" s="18">
        <f t="shared" si="35"/>
        <v>0</v>
      </c>
    </row>
    <row r="12" spans="1:41" x14ac:dyDescent="0.3">
      <c r="A12" s="4">
        <v>10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4"/>
      <c r="S12" s="11" t="str">
        <f t="shared" si="18"/>
        <v>0</v>
      </c>
      <c r="T12" s="12">
        <f t="shared" si="19"/>
        <v>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0</v>
      </c>
      <c r="AD12" s="17">
        <f t="shared" si="24"/>
        <v>0</v>
      </c>
      <c r="AE12" s="17">
        <f t="shared" si="25"/>
        <v>0</v>
      </c>
      <c r="AF12" s="17">
        <f t="shared" si="26"/>
        <v>0</v>
      </c>
      <c r="AG12" s="17">
        <f t="shared" si="27"/>
        <v>0</v>
      </c>
      <c r="AH12" s="17">
        <f t="shared" si="28"/>
        <v>0</v>
      </c>
      <c r="AI12" s="17">
        <f t="shared" si="29"/>
        <v>0</v>
      </c>
      <c r="AJ12" s="17">
        <f t="shared" si="30"/>
        <v>0</v>
      </c>
      <c r="AK12" s="17">
        <f t="shared" si="31"/>
        <v>0</v>
      </c>
      <c r="AL12" s="17">
        <f t="shared" si="32"/>
        <v>0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3">
      <c r="A13" s="4">
        <v>11</v>
      </c>
      <c r="B13" s="23"/>
      <c r="C13" s="23"/>
      <c r="D13" s="23"/>
      <c r="E13" s="23">
        <v>3</v>
      </c>
      <c r="F13" s="23"/>
      <c r="G13" s="23"/>
      <c r="H13" s="23">
        <v>3</v>
      </c>
      <c r="I13" s="23"/>
      <c r="J13" s="23"/>
      <c r="K13" s="23">
        <v>3</v>
      </c>
      <c r="L13" s="23"/>
      <c r="M13" s="23"/>
      <c r="N13" s="23">
        <v>3</v>
      </c>
      <c r="O13" s="23"/>
      <c r="P13" s="23"/>
      <c r="Q13" s="24"/>
      <c r="S13" s="11" t="str">
        <f t="shared" si="18"/>
        <v>30C30C0</v>
      </c>
      <c r="T13" s="12">
        <f t="shared" si="19"/>
        <v>51130560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50331648</v>
      </c>
      <c r="AD13" s="17">
        <f t="shared" si="24"/>
        <v>0</v>
      </c>
      <c r="AE13" s="17">
        <f t="shared" si="25"/>
        <v>0</v>
      </c>
      <c r="AF13" s="17">
        <f t="shared" si="26"/>
        <v>786432</v>
      </c>
      <c r="AG13" s="17">
        <f t="shared" si="27"/>
        <v>0</v>
      </c>
      <c r="AH13" s="17">
        <f t="shared" si="28"/>
        <v>0</v>
      </c>
      <c r="AI13" s="17">
        <f t="shared" si="29"/>
        <v>12288</v>
      </c>
      <c r="AJ13" s="17">
        <f t="shared" si="30"/>
        <v>0</v>
      </c>
      <c r="AK13" s="17">
        <f t="shared" si="31"/>
        <v>0</v>
      </c>
      <c r="AL13" s="17">
        <f t="shared" si="32"/>
        <v>192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3">
      <c r="A14" s="4">
        <v>12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4"/>
      <c r="S14" s="11" t="str">
        <f t="shared" si="18"/>
        <v>0</v>
      </c>
      <c r="T14" s="12">
        <f t="shared" si="19"/>
        <v>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0</v>
      </c>
      <c r="AE14" s="17">
        <f t="shared" si="25"/>
        <v>0</v>
      </c>
      <c r="AF14" s="17">
        <f t="shared" si="26"/>
        <v>0</v>
      </c>
      <c r="AG14" s="17">
        <f t="shared" si="27"/>
        <v>0</v>
      </c>
      <c r="AH14" s="17">
        <f t="shared" si="28"/>
        <v>0</v>
      </c>
      <c r="AI14" s="17">
        <f t="shared" si="29"/>
        <v>0</v>
      </c>
      <c r="AJ14" s="17">
        <f t="shared" si="30"/>
        <v>0</v>
      </c>
      <c r="AK14" s="17">
        <f t="shared" si="31"/>
        <v>0</v>
      </c>
      <c r="AL14" s="17">
        <f t="shared" si="32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3">
      <c r="A15" s="4">
        <v>13</v>
      </c>
      <c r="B15" s="23"/>
      <c r="C15" s="23">
        <v>1</v>
      </c>
      <c r="D15" s="23">
        <v>1</v>
      </c>
      <c r="E15" s="23">
        <v>1</v>
      </c>
      <c r="F15" s="23">
        <v>1</v>
      </c>
      <c r="G15" s="23">
        <v>1</v>
      </c>
      <c r="H15" s="23">
        <v>1</v>
      </c>
      <c r="I15" s="23">
        <v>1</v>
      </c>
      <c r="J15" s="23">
        <v>1</v>
      </c>
      <c r="K15" s="23">
        <v>1</v>
      </c>
      <c r="L15" s="23">
        <v>1</v>
      </c>
      <c r="M15" s="23">
        <v>1</v>
      </c>
      <c r="N15" s="23">
        <v>1</v>
      </c>
      <c r="O15" s="23">
        <v>1</v>
      </c>
      <c r="P15" s="23">
        <v>1</v>
      </c>
      <c r="Q15" s="24"/>
      <c r="S15" s="11" t="str">
        <f t="shared" si="18"/>
        <v>15555554</v>
      </c>
      <c r="T15" s="12">
        <f t="shared" si="19"/>
        <v>357913940</v>
      </c>
      <c r="Z15" s="16">
        <f t="shared" si="20"/>
        <v>0</v>
      </c>
      <c r="AA15" s="17">
        <f t="shared" si="21"/>
        <v>268435456</v>
      </c>
      <c r="AB15" s="17">
        <f t="shared" si="22"/>
        <v>67108864</v>
      </c>
      <c r="AC15" s="17">
        <f t="shared" si="23"/>
        <v>16777216</v>
      </c>
      <c r="AD15" s="17">
        <f t="shared" si="24"/>
        <v>4194304</v>
      </c>
      <c r="AE15" s="17">
        <f t="shared" si="25"/>
        <v>1048576</v>
      </c>
      <c r="AF15" s="17">
        <f t="shared" si="26"/>
        <v>262144</v>
      </c>
      <c r="AG15" s="17">
        <f t="shared" si="27"/>
        <v>65536</v>
      </c>
      <c r="AH15" s="17">
        <f t="shared" si="28"/>
        <v>16384</v>
      </c>
      <c r="AI15" s="17">
        <f t="shared" si="29"/>
        <v>4096</v>
      </c>
      <c r="AJ15" s="17">
        <f t="shared" si="30"/>
        <v>1024</v>
      </c>
      <c r="AK15" s="17">
        <f t="shared" si="31"/>
        <v>256</v>
      </c>
      <c r="AL15" s="17">
        <f t="shared" si="32"/>
        <v>64</v>
      </c>
      <c r="AM15" s="17">
        <f t="shared" si="33"/>
        <v>16</v>
      </c>
      <c r="AN15" s="17">
        <f t="shared" si="34"/>
        <v>4</v>
      </c>
      <c r="AO15" s="18">
        <f t="shared" si="35"/>
        <v>0</v>
      </c>
    </row>
    <row r="16" spans="1:41" x14ac:dyDescent="0.3">
      <c r="A16" s="4">
        <v>14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4"/>
      <c r="S16" s="11" t="str">
        <f t="shared" si="18"/>
        <v>0</v>
      </c>
      <c r="T16" s="12">
        <f t="shared" si="19"/>
        <v>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0</v>
      </c>
      <c r="AE16" s="17">
        <f t="shared" si="25"/>
        <v>0</v>
      </c>
      <c r="AF16" s="17">
        <f t="shared" si="26"/>
        <v>0</v>
      </c>
      <c r="AG16" s="17">
        <f t="shared" si="27"/>
        <v>0</v>
      </c>
      <c r="AH16" s="17">
        <f t="shared" si="28"/>
        <v>0</v>
      </c>
      <c r="AI16" s="17">
        <f t="shared" si="29"/>
        <v>0</v>
      </c>
      <c r="AJ16" s="17">
        <f t="shared" si="30"/>
        <v>0</v>
      </c>
      <c r="AK16" s="17">
        <f t="shared" si="31"/>
        <v>0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3">
      <c r="A17" s="4">
        <v>15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4"/>
      <c r="S17" s="11" t="str">
        <f t="shared" si="18"/>
        <v>0</v>
      </c>
      <c r="T17" s="12">
        <f t="shared" si="19"/>
        <v>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0</v>
      </c>
      <c r="AE17" s="17">
        <f t="shared" si="25"/>
        <v>0</v>
      </c>
      <c r="AF17" s="17">
        <f t="shared" si="26"/>
        <v>0</v>
      </c>
      <c r="AG17" s="17">
        <f t="shared" si="27"/>
        <v>0</v>
      </c>
      <c r="AH17" s="17">
        <f t="shared" si="28"/>
        <v>0</v>
      </c>
      <c r="AI17" s="17">
        <f t="shared" si="29"/>
        <v>0</v>
      </c>
      <c r="AJ17" s="17">
        <f t="shared" si="30"/>
        <v>0</v>
      </c>
      <c r="AK17" s="17">
        <f t="shared" si="31"/>
        <v>0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3">
      <c r="A18" s="4">
        <v>16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4"/>
      <c r="S18" s="11" t="str">
        <f t="shared" si="18"/>
        <v>0</v>
      </c>
      <c r="T18" s="12">
        <f t="shared" si="19"/>
        <v>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0</v>
      </c>
      <c r="AE18" s="17">
        <f t="shared" si="25"/>
        <v>0</v>
      </c>
      <c r="AF18" s="17">
        <f t="shared" si="26"/>
        <v>0</v>
      </c>
      <c r="AG18" s="17">
        <f t="shared" si="27"/>
        <v>0</v>
      </c>
      <c r="AH18" s="17">
        <f t="shared" si="28"/>
        <v>0</v>
      </c>
      <c r="AI18" s="17">
        <f t="shared" si="29"/>
        <v>0</v>
      </c>
      <c r="AJ18" s="17">
        <f t="shared" si="30"/>
        <v>0</v>
      </c>
      <c r="AK18" s="17">
        <f t="shared" si="31"/>
        <v>0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3">
      <c r="A19" s="4">
        <v>17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S19" s="11" t="str">
        <f t="shared" si="18"/>
        <v>0</v>
      </c>
      <c r="T19" s="12">
        <f t="shared" si="19"/>
        <v>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0</v>
      </c>
      <c r="AG19" s="17">
        <f t="shared" si="27"/>
        <v>0</v>
      </c>
      <c r="AH19" s="17">
        <f t="shared" si="28"/>
        <v>0</v>
      </c>
      <c r="AI19" s="17">
        <f t="shared" si="29"/>
        <v>0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3">
      <c r="A20" s="4">
        <v>18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4"/>
      <c r="S20" s="11" t="str">
        <f t="shared" si="18"/>
        <v>0</v>
      </c>
      <c r="T20" s="12">
        <f t="shared" si="19"/>
        <v>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0</v>
      </c>
      <c r="AG20" s="17">
        <f t="shared" si="27"/>
        <v>0</v>
      </c>
      <c r="AH20" s="17">
        <f t="shared" si="28"/>
        <v>0</v>
      </c>
      <c r="AI20" s="17">
        <f t="shared" si="29"/>
        <v>0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3">
      <c r="A21" s="4">
        <v>19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4"/>
      <c r="S21" s="11" t="str">
        <f t="shared" si="18"/>
        <v>0</v>
      </c>
      <c r="T21" s="12">
        <f t="shared" si="19"/>
        <v>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27"/>
        <v>0</v>
      </c>
      <c r="AH21" s="17">
        <f t="shared" si="28"/>
        <v>0</v>
      </c>
      <c r="AI21" s="17">
        <f t="shared" si="29"/>
        <v>0</v>
      </c>
      <c r="AJ21" s="17">
        <f t="shared" si="30"/>
        <v>0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3">
      <c r="A22" s="4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0</v>
      </c>
      <c r="AH22" s="17">
        <f t="shared" si="28"/>
        <v>0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3">
      <c r="A23" s="4">
        <v>21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4"/>
      <c r="S23" s="11" t="str">
        <f t="shared" si="18"/>
        <v>0</v>
      </c>
      <c r="T23" s="12">
        <f t="shared" si="19"/>
        <v>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0</v>
      </c>
      <c r="AH23" s="17">
        <f t="shared" si="28"/>
        <v>0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3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3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3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3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3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" thickBot="1" x14ac:dyDescent="0.35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3">
      <c r="CV100" s="22"/>
    </row>
  </sheetData>
  <sheetProtection algorithmName="SHA-512" hashValue="uRJDh0gdkrE+2ORgl/qNQfAi8jcUL9w8sW0N4HDkPaw4r7g78cFrz1v5wip55zFJb0tWE9GrNumK7evjUypRpA==" saltValue="QTzbmh99kAmkOL+WOVzlXg==" spinCount="100000" sheet="1" objects="1" scenarios="1"/>
  <conditionalFormatting sqref="B2:Q33">
    <cfRule type="cellIs" dxfId="4" priority="3" operator="equal">
      <formula>2</formula>
    </cfRule>
    <cfRule type="cellIs" dxfId="3" priority="2" operator="equal">
      <formula>1</formula>
    </cfRule>
    <cfRule type="cellIs" dxfId="2" priority="1" operator="equal">
      <formula>3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2015-06-17T11:31:01Z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